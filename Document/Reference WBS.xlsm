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PORO\Desktop\졸작+캡스톤\"/>
    </mc:Choice>
  </mc:AlternateContent>
  <bookViews>
    <workbookView xWindow="0" yWindow="0" windowWidth="28800" windowHeight="12285" tabRatio="636" activeTab="1"/>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8"/>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Schedule!$D$1:$BB$212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5" i="31" l="1"/>
  <c r="AG6" i="31"/>
  <c r="AG7" i="31"/>
  <c r="AF8" i="31"/>
  <c r="AF9" i="31"/>
  <c r="AF10" i="31"/>
  <c r="AF11" i="31"/>
  <c r="AF12" i="31"/>
  <c r="AF13" i="31"/>
  <c r="AF14" i="31"/>
  <c r="AF15" i="31"/>
  <c r="AP16" i="31"/>
  <c r="AP17" i="31"/>
  <c r="AP18" i="31"/>
  <c r="AP19" i="31"/>
  <c r="AP20" i="31"/>
  <c r="AQ21" i="31"/>
  <c r="AQ22" i="31"/>
  <c r="AQ23" i="31"/>
  <c r="AG24" i="31"/>
  <c r="AG25" i="31"/>
  <c r="AJ26" i="31"/>
  <c r="AH27" i="31"/>
  <c r="AH28" i="31"/>
  <c r="AH29" i="31"/>
  <c r="AI30" i="31"/>
  <c r="AH31" i="31"/>
  <c r="AH32" i="31"/>
  <c r="AI33" i="31"/>
  <c r="AH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I71" i="31"/>
  <c r="AI72" i="31"/>
  <c r="AI73" i="31"/>
  <c r="AI74" i="31"/>
  <c r="AI75" i="31"/>
  <c r="AI76" i="31"/>
  <c r="AI77" i="31"/>
  <c r="AI78" i="31"/>
  <c r="AI79" i="31"/>
  <c r="AI80" i="31"/>
  <c r="AI81" i="31"/>
  <c r="AI82" i="31"/>
  <c r="AI83" i="31"/>
  <c r="AI84" i="31"/>
  <c r="AI85" i="31"/>
  <c r="AI86" i="31"/>
  <c r="AI87" i="31"/>
  <c r="AI88" i="31"/>
  <c r="AI89" i="31"/>
  <c r="AQ90" i="31"/>
  <c r="AJ91" i="31"/>
  <c r="AQ92" i="31"/>
  <c r="AQ93" i="31"/>
  <c r="AQ94" i="31"/>
  <c r="AQ95" i="31"/>
  <c r="AQ96" i="31"/>
  <c r="AQ97" i="31"/>
  <c r="AQ98" i="31"/>
  <c r="AQ99" i="31"/>
  <c r="AQ100" i="31"/>
  <c r="AQ101" i="31"/>
  <c r="AQ102" i="31"/>
  <c r="AQ103" i="31"/>
  <c r="AQ104" i="31"/>
  <c r="AQ105" i="31"/>
  <c r="AQ106" i="31"/>
  <c r="AQ107" i="31"/>
  <c r="AQ108" i="31"/>
  <c r="AQ109" i="31"/>
  <c r="AQ110" i="31"/>
  <c r="AQ111" i="31"/>
  <c r="AQ112" i="31"/>
  <c r="AQ113" i="31"/>
  <c r="AQ114" i="31"/>
  <c r="AQ115" i="31"/>
  <c r="AQ116" i="31"/>
  <c r="AQ117" i="31"/>
  <c r="AQ118" i="31"/>
  <c r="AQ119" i="31"/>
  <c r="AQ120" i="31"/>
  <c r="AQ121" i="31"/>
  <c r="AQ122" i="31"/>
  <c r="AQ123" i="31"/>
  <c r="AQ124" i="31"/>
  <c r="AQ125" i="31"/>
  <c r="AQ126" i="31"/>
  <c r="AQ127" i="31"/>
  <c r="AQ128" i="31"/>
  <c r="AK129" i="31"/>
  <c r="AK130" i="31"/>
  <c r="AK131" i="31"/>
  <c r="AQ132" i="31"/>
  <c r="AK133" i="31"/>
  <c r="AK134" i="31"/>
  <c r="AK135" i="31"/>
  <c r="AK136" i="31"/>
  <c r="AQ137" i="31"/>
  <c r="AQ138" i="31"/>
  <c r="AQ139" i="31"/>
  <c r="AQ140" i="31"/>
  <c r="AQ141" i="31"/>
  <c r="AQ142" i="31"/>
  <c r="AQ143" i="31"/>
  <c r="AQ144" i="31"/>
  <c r="AQ145" i="31"/>
  <c r="AQ146" i="31"/>
  <c r="AQ147" i="31"/>
  <c r="AQ148" i="31"/>
  <c r="AQ149" i="31"/>
  <c r="AQ150" i="31"/>
  <c r="AQ151" i="31"/>
  <c r="AQ152" i="31"/>
  <c r="AQ153" i="31"/>
  <c r="AQ154" i="31"/>
  <c r="AQ155" i="31"/>
  <c r="AQ156" i="31"/>
  <c r="AQ157" i="31"/>
  <c r="AQ158" i="31"/>
  <c r="AQ159" i="31"/>
  <c r="AQ160" i="31"/>
  <c r="AQ161" i="31"/>
  <c r="AQ162" i="31"/>
  <c r="AQ163" i="31"/>
  <c r="AQ164" i="31"/>
  <c r="AQ165" i="31"/>
  <c r="AQ166" i="31"/>
  <c r="AQ167" i="31"/>
  <c r="AQ168" i="31"/>
  <c r="AQ169" i="31"/>
  <c r="AQ170" i="31"/>
  <c r="AQ171" i="31"/>
  <c r="AQ172" i="31"/>
  <c r="AQ173" i="31"/>
  <c r="AQ174" i="31"/>
  <c r="AQ175" i="31"/>
  <c r="AQ176" i="31"/>
  <c r="AQ177" i="31"/>
  <c r="AQ178" i="31"/>
  <c r="AQ179" i="31"/>
  <c r="AQ180" i="31"/>
  <c r="AQ181" i="31"/>
  <c r="AQ182" i="31"/>
  <c r="AQ183" i="31"/>
  <c r="AQ184" i="31"/>
  <c r="AQ185" i="31"/>
  <c r="AQ186" i="31"/>
  <c r="AQ187" i="31"/>
  <c r="AQ188" i="31"/>
  <c r="AQ189" i="31"/>
  <c r="AQ190" i="31"/>
  <c r="AQ191" i="31"/>
  <c r="AQ192" i="31"/>
  <c r="AQ193" i="31"/>
  <c r="AQ194" i="31"/>
  <c r="AQ195" i="31"/>
  <c r="AQ196" i="31"/>
  <c r="AQ197" i="31"/>
  <c r="AQ198" i="31"/>
  <c r="AQ199" i="31"/>
  <c r="AQ200" i="31"/>
  <c r="AQ201" i="31"/>
  <c r="AQ202" i="31"/>
  <c r="AQ203" i="31"/>
  <c r="AQ204" i="31"/>
  <c r="AQ205" i="31"/>
  <c r="AQ206" i="31"/>
  <c r="AQ207" i="31"/>
  <c r="AQ208" i="31"/>
  <c r="AQ209" i="31"/>
  <c r="AQ210" i="31"/>
  <c r="AQ211" i="31"/>
  <c r="AQ212"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AE2" i="31" a="1"/>
  <c r="D1" i="31" a="1"/>
  <c r="AE1" i="31" l="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<sst xmlns="http://schemas.openxmlformats.org/spreadsheetml/2006/main" count="3733" uniqueCount="1871">
  <si>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</si>
  <si>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</si>
  <si>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</si>
  <si>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</si>
  <si>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</si>
  <si>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</si>
  <si>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</si>
  <si>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</si>
  <si>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</si>
  <si>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</si>
  <si>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</si>
  <si>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</si>
  <si>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</si>
  <si>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</si>
  <si>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</si>
  <si>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</si>
  <si>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</si>
  <si>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</si>
  <si>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</si>
  <si>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</si>
  <si>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</si>
  <si>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</si>
  <si>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</si>
  <si>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</si>
  <si>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</si>
  <si>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</si>
  <si>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</si>
  <si>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</si>
  <si>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</si>
  <si>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</si>
  <si>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</si>
  <si>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</si>
  <si>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</si>
  <si>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</si>
  <si>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</si>
  <si>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</si>
  <si>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</si>
  <si>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</si>
  <si>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</si>
  <si>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</si>
  <si>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</si>
  <si>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</si>
  <si>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</si>
  <si>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</si>
  <si>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</si>
  <si>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</si>
  <si>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</si>
  <si>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</si>
  <si>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</si>
  <si>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</si>
  <si>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</si>
  <si>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</si>
  <si>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</si>
  <si>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</si>
  <si>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</si>
  <si>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</si>
  <si>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</si>
  <si>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</si>
  <si>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</si>
  <si>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</si>
  <si>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</si>
  <si>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</si>
  <si>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</si>
  <si>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</si>
  <si>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</si>
  <si>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</si>
  <si>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</si>
  <si>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</si>
  <si>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</si>
  <si>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</si>
  <si>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</si>
  <si>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</si>
  <si>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</si>
  <si>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</si>
  <si>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</si>
  <si>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</si>
  <si>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</si>
  <si>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</si>
  <si>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</si>
  <si>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</si>
  <si>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</si>
  <si>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</si>
  <si>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</si>
  <si>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</si>
  <si>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</si>
  <si>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</si>
  <si>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</si>
  <si>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</si>
  <si>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</si>
  <si>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</si>
  <si>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</si>
  <si>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</si>
  <si>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</si>
  <si>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</si>
  <si>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</si>
  <si>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</si>
  <si>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</si>
  <si>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</si>
  <si>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</si>
  <si>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</si>
  <si>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</si>
  <si>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</si>
  <si>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</si>
  <si>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</si>
  <si>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</si>
  <si>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</si>
  <si>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</si>
  <si>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</si>
  <si>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</si>
  <si>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</si>
  <si>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</si>
  <si>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</si>
  <si>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</si>
  <si>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</si>
  <si>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</si>
  <si>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</si>
  <si>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</si>
  <si>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</si>
  <si>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</si>
  <si>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</si>
  <si>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</si>
  <si>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</si>
  <si>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</si>
  <si>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</si>
  <si>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</si>
  <si>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</si>
  <si>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</si>
  <si>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</si>
  <si>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</si>
  <si>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</si>
  <si>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</si>
  <si>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</si>
  <si>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</si>
  <si>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</si>
  <si>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</si>
  <si>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</si>
  <si>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</si>
  <si>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</si>
  <si>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</si>
  <si>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</si>
  <si>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</si>
  <si>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</si>
  <si>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</si>
  <si>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</si>
  <si>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</si>
  <si>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</si>
  <si>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</si>
  <si>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</si>
  <si>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</si>
  <si>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</si>
  <si>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</si>
  <si>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</si>
  <si>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</si>
  <si>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</si>
  <si>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</si>
  <si>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</si>
  <si>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</si>
  <si>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</si>
  <si>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</si>
  <si>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</si>
  <si>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</si>
  <si>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</si>
  <si>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</si>
  <si>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</si>
  <si>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</si>
  <si>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</si>
  <si>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</si>
  <si>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</si>
  <si>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</si>
  <si>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</si>
  <si>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</si>
  <si>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</si>
  <si>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</si>
  <si>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</si>
  <si>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</si>
  <si>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</si>
  <si>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</si>
  <si>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</si>
  <si>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</si>
  <si>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</si>
  <si>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</si>
  <si>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</si>
  <si>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</si>
  <si>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</si>
  <si>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</si>
  <si>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</si>
  <si>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</si>
  <si>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</si>
  <si>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</si>
  <si>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</si>
  <si>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</si>
  <si>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</si>
  <si>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</si>
  <si>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</si>
  <si>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</si>
  <si>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</si>
  <si>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</si>
  <si>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</si>
  <si>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</si>
  <si>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</si>
  <si>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</si>
  <si>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</si>
  <si>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</si>
  <si>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</si>
  <si>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</si>
  <si>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</si>
  <si>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</si>
  <si>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</si>
  <si>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</si>
  <si>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</si>
  <si>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</si>
  <si>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</si>
  <si>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</si>
  <si>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</si>
  <si>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</si>
  <si>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</si>
  <si>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</si>
  <si>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</si>
  <si>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</si>
  <si>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</si>
  <si>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</si>
  <si>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</si>
  <si>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</si>
  <si>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</si>
  <si>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</si>
  <si>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</si>
  <si>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</si>
  <si>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</si>
  <si>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</si>
  <si>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</si>
  <si>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</si>
  <si>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</si>
  <si>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</si>
  <si>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</si>
  <si>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</si>
  <si>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</si>
  <si>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</si>
  <si>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</si>
  <si>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</si>
  <si>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</si>
  <si>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</si>
  <si>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</si>
  <si>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</si>
  <si>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</si>
  <si>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</si>
  <si>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</si>
  <si>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</si>
  <si>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</si>
  <si>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</si>
  <si>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</si>
  <si>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</si>
  <si>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</si>
  <si>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</si>
  <si>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</si>
  <si>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</si>
  <si>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</si>
  <si>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</si>
  <si>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</si>
  <si>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</si>
  <si>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</si>
  <si>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</si>
  <si>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</si>
  <si>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</si>
  <si>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</si>
  <si>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</si>
  <si>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</si>
  <si>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</si>
  <si>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</si>
  <si>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</si>
  <si>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</si>
  <si>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</si>
  <si>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</si>
  <si>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</si>
  <si>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</si>
  <si>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</si>
  <si>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</si>
  <si>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</si>
  <si>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</si>
  <si>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</si>
  <si>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</si>
  <si>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</si>
  <si>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</si>
  <si>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</si>
  <si>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</si>
  <si>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</si>
  <si>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</si>
  <si>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</si>
  <si>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</si>
  <si>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</si>
  <si>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</si>
  <si>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</si>
  <si>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</si>
  <si>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</si>
  <si>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</si>
  <si>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</si>
  <si>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</si>
  <si>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</si>
  <si>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</si>
  <si>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</si>
  <si>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</si>
  <si>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</si>
  <si>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</si>
  <si>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</si>
  <si>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</si>
  <si>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</si>
  <si>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</si>
  <si>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</si>
  <si>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</si>
  <si>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</si>
  <si>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</si>
  <si>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</si>
  <si>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</si>
  <si>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</si>
  <si>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</si>
  <si>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</si>
  <si>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</si>
  <si>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</si>
  <si>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</si>
  <si>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</si>
  <si>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</si>
  <si>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</si>
  <si>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</si>
  <si>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</si>
  <si>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</si>
  <si>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</si>
  <si>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</si>
  <si>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</si>
  <si>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</si>
  <si>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</si>
  <si>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</si>
  <si>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</si>
  <si>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</si>
  <si>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</si>
  <si>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</si>
  <si>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</si>
  <si>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</si>
  <si>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</si>
  <si>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</si>
  <si>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</si>
  <si>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</si>
  <si>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</si>
  <si>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</si>
  <si>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</si>
  <si>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</si>
  <si>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</si>
  <si>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</si>
  <si>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</si>
  <si>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</si>
  <si>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</si>
  <si>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</si>
  <si>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</si>
  <si>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</si>
  <si>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</si>
  <si>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</si>
  <si>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</si>
  <si>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</si>
  <si>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</si>
  <si>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</si>
  <si>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</si>
  <si>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</si>
  <si>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</si>
  <si>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</si>
  <si>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</si>
  <si>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</si>
  <si>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</si>
  <si>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</si>
  <si>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</si>
  <si>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</si>
  <si>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</si>
  <si>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</si>
  <si>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</si>
  <si>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</si>
  <si>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</si>
  <si>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</si>
  <si>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</si>
  <si>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</si>
  <si>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</si>
  <si>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</si>
  <si>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</si>
  <si>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</si>
  <si>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</si>
  <si>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</si>
  <si>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</si>
  <si>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</si>
  <si>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</si>
  <si>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</si>
  <si>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</si>
  <si>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</si>
  <si>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</si>
  <si>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</si>
  <si>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</si>
  <si>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</si>
  <si>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</si>
  <si>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</si>
  <si>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</si>
  <si>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</si>
  <si>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</si>
  <si>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</si>
  <si>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</si>
  <si>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</si>
  <si>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</si>
  <si>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</si>
  <si>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</si>
  <si>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</si>
  <si>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</si>
  <si>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</si>
  <si>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</si>
  <si>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</si>
  <si>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</si>
  <si>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</si>
  <si>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</si>
  <si>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</si>
  <si>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</si>
  <si>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</si>
  <si>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</si>
  <si>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</si>
  <si>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</si>
  <si>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</si>
  <si>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</si>
  <si>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</si>
  <si>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</si>
  <si>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</si>
  <si>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</si>
  <si>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</si>
  <si>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</si>
  <si>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</si>
  <si>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</si>
  <si>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</si>
  <si>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</si>
  <si>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</si>
  <si>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</si>
  <si>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</si>
  <si>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</si>
  <si>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</si>
  <si>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</si>
  <si>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</si>
  <si>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</si>
  <si>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</si>
  <si>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</si>
  <si>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</si>
  <si>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</si>
  <si>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</si>
  <si>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</si>
  <si>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</si>
  <si>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</si>
  <si>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</si>
  <si>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</si>
  <si>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</si>
  <si>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</si>
  <si>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</si>
  <si>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</si>
  <si>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</si>
  <si>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</si>
  <si>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</si>
  <si>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</si>
  <si>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</si>
  <si>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</si>
  <si>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</si>
  <si>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</si>
  <si>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</si>
  <si>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</si>
  <si>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</si>
  <si>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</si>
  <si>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</si>
  <si>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</si>
  <si>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</si>
  <si>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</si>
  <si>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</si>
  <si>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</si>
  <si>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</si>
  <si>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</si>
  <si>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</si>
  <si>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</si>
  <si>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</si>
  <si>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</si>
  <si>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</si>
  <si>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</si>
  <si>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</si>
  <si>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</si>
  <si>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</si>
  <si>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</si>
  <si>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</si>
  <si>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</si>
  <si>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</si>
  <si>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</si>
  <si>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</si>
  <si>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</si>
  <si>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</si>
  <si>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</si>
  <si>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</si>
  <si>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</si>
  <si>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</si>
  <si>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</si>
  <si>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</si>
  <si>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</si>
  <si>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</si>
  <si>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</si>
  <si>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</si>
  <si>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</si>
  <si>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</si>
  <si>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</si>
  <si>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</si>
  <si>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</si>
  <si>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</si>
  <si>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</si>
  <si>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</si>
  <si>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</si>
  <si>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</si>
  <si>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</si>
  <si>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</si>
  <si>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</si>
  <si>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</si>
  <si>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</si>
  <si>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</si>
  <si>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</si>
  <si>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</si>
  <si>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</si>
  <si>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</si>
  <si>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</si>
  <si>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</si>
  <si>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</si>
  <si>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</si>
  <si>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</si>
  <si>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</si>
  <si>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</si>
  <si>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</si>
  <si>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</si>
  <si>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</si>
  <si>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</si>
  <si>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</si>
  <si>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</si>
  <si>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</si>
  <si>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</si>
  <si>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</si>
  <si>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</si>
  <si>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</si>
  <si>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</si>
  <si>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</si>
  <si>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</si>
  <si>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</si>
  <si>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</si>
  <si>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</si>
  <si>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</si>
  <si>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</si>
  <si>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</si>
  <si>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</si>
  <si>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</si>
  <si>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</si>
  <si>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</si>
  <si>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</si>
  <si>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</si>
  <si>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</si>
  <si>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</si>
  <si>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</si>
  <si>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</si>
  <si>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</si>
  <si>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</si>
  <si>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</si>
  <si>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</si>
  <si>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</si>
  <si>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</si>
  <si>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</si>
  <si>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</si>
  <si>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</si>
  <si>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</si>
  <si>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</si>
  <si>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</si>
  <si>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</si>
  <si>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</si>
  <si>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</si>
  <si>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</si>
  <si>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</si>
  <si>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</si>
  <si>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</si>
  <si>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</si>
  <si>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</si>
  <si>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</si>
  <si>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</si>
  <si>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</si>
  <si>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</si>
  <si>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</si>
  <si>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</si>
  <si>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</si>
  <si>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</si>
  <si>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</si>
  <si>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</si>
  <si>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</si>
  <si>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</si>
  <si>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</si>
  <si>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</si>
  <si>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</si>
  <si>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</si>
  <si>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</si>
  <si>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</si>
  <si>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</si>
  <si>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</si>
  <si>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</si>
  <si>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</si>
  <si>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</si>
  <si>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</si>
  <si>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</si>
  <si>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</si>
  <si>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</si>
  <si>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</si>
  <si>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</si>
  <si>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</si>
  <si>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</si>
  <si>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</si>
  <si>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</si>
  <si>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</si>
  <si>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</si>
  <si>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</si>
  <si>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</si>
  <si>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</si>
  <si>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</si>
  <si>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</si>
  <si>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</si>
  <si>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</si>
  <si>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</si>
  <si>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</si>
  <si>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</si>
  <si>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</si>
  <si>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</si>
  <si>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</si>
  <si>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</si>
  <si>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</si>
  <si>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</si>
  <si>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</si>
  <si>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</si>
  <si>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</si>
  <si>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</si>
  <si>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</si>
  <si>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</si>
  <si>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</si>
  <si>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</si>
  <si>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</si>
  <si>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</si>
  <si>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</si>
  <si>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</si>
  <si>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</si>
  <si>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</si>
  <si>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</si>
  <si>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</si>
  <si>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</si>
  <si>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</si>
  <si>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</si>
  <si>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</si>
  <si>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</si>
  <si>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</si>
  <si>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</si>
  <si>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</si>
  <si>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</si>
  <si>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</si>
  <si>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</si>
  <si>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</si>
  <si>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</si>
  <si>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</si>
  <si>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</si>
  <si>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</si>
  <si>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</si>
  <si>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</si>
  <si>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</si>
  <si>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</si>
  <si>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</si>
  <si>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</si>
  <si>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</si>
  <si>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</si>
  <si>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</si>
  <si>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</si>
  <si>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</si>
  <si>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</si>
  <si>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</si>
  <si>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</si>
  <si>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</si>
  <si>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</si>
  <si>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</si>
  <si>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</si>
  <si>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</si>
  <si>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</si>
  <si>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</si>
  <si>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</si>
  <si>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</si>
  <si>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</si>
  <si>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</si>
  <si>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</si>
  <si>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</si>
  <si>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</si>
  <si>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</si>
  <si>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</si>
  <si>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</si>
  <si>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</si>
  <si>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</si>
  <si>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</si>
  <si>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</si>
  <si>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</si>
  <si>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</si>
  <si>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</si>
  <si>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</si>
  <si>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</si>
  <si>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</si>
  <si>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</si>
  <si>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</si>
  <si>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</si>
  <si>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</si>
  <si>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</si>
  <si>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Files\Notepad++\notepad++.exe</t>
    <phoneticPr fontId="1" type="noConversion"/>
  </si>
  <si>
    <t>AutoCAD</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</si>
  <si>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</si>
  <si>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</si>
  <si>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</si>
  <si>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</si>
  <si>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</si>
  <si>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</si>
  <si>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</si>
  <si>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</si>
  <si>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</si>
  <si>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</si>
  <si>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</si>
  <si>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</si>
  <si>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</si>
  <si>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</si>
  <si>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</si>
  <si>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</si>
  <si>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</si>
  <si>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</si>
  <si>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</si>
  <si>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</si>
  <si>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</si>
  <si>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</si>
  <si>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</si>
  <si>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</si>
  <si>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</si>
  <si>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</si>
  <si>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</si>
  <si>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</si>
  <si>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</si>
  <si>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</si>
  <si>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</si>
  <si>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</si>
  <si>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</si>
  <si>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</si>
  <si>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</si>
  <si>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</si>
  <si>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</si>
  <si>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</si>
  <si>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</si>
  <si>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</si>
  <si>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</si>
  <si>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</si>
  <si>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</si>
  <si>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</si>
  <si>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</si>
  <si>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</si>
  <si>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</si>
  <si>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</si>
  <si>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</si>
  <si>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</si>
  <si>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</si>
  <si>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</si>
  <si>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</si>
  <si>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</si>
  <si>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</si>
  <si>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</si>
  <si>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</si>
  <si>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</si>
  <si>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</si>
  <si>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</si>
  <si>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</si>
  <si>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</si>
  <si>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</si>
  <si>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</si>
  <si>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</si>
  <si>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</si>
  <si>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</si>
  <si>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</si>
  <si>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</si>
  <si>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</si>
  <si>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</si>
  <si>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</si>
  <si>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</si>
  <si>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</si>
  <si>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</si>
  <si>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</si>
  <si>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</si>
  <si>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</si>
  <si>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</si>
  <si>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</si>
  <si>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</si>
  <si>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</si>
  <si>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</si>
  <si>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</si>
  <si>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</si>
  <si>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</si>
  <si>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</si>
  <si>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</si>
  <si>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</si>
  <si>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</si>
  <si>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</si>
  <si>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</si>
  <si>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</si>
  <si>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</si>
  <si>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</si>
  <si>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</si>
  <si>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</si>
  <si>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</si>
  <si>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</si>
  <si>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</si>
  <si>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</si>
  <si>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</si>
  <si>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</si>
  <si>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</si>
  <si>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</si>
  <si>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</si>
  <si>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</si>
  <si>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</si>
  <si>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</si>
  <si>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</si>
  <si>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</si>
  <si>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</si>
  <si>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</si>
  <si>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</si>
  <si>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</si>
  <si>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</si>
  <si>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</si>
  <si>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</si>
  <si>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</si>
  <si>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</si>
  <si>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</si>
  <si>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</si>
  <si>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</si>
  <si>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</si>
  <si>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</si>
  <si>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</si>
  <si>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</si>
  <si>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</si>
  <si>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</si>
  <si>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</si>
  <si>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</si>
  <si>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</si>
  <si>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</si>
  <si>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</si>
  <si>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</si>
  <si>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</si>
  <si>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</si>
  <si>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</si>
  <si>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</si>
  <si>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</si>
  <si>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</si>
  <si>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</si>
  <si>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</si>
  <si>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</si>
  <si>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</si>
  <si>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</si>
  <si>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</si>
  <si>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</si>
  <si>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</si>
  <si>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</si>
  <si>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</si>
  <si>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</si>
  <si>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</si>
  <si>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</si>
  <si>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</si>
  <si>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</si>
  <si>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</si>
  <si>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</si>
  <si>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</si>
  <si>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</si>
  <si>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</si>
  <si>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</si>
  <si>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</si>
  <si>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</si>
  <si>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</si>
  <si>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</si>
  <si>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</si>
  <si>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</si>
  <si>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</si>
  <si>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</si>
  <si>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</si>
  <si>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</si>
  <si>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</si>
  <si>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</si>
  <si>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</si>
  <si>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</si>
  <si>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</si>
  <si>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</si>
  <si>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</si>
  <si>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</si>
  <si>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</si>
  <si>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</si>
  <si>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</si>
  <si>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</si>
  <si>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</si>
  <si>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</si>
  <si>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</si>
  <si>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</si>
  <si>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</si>
  <si>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</si>
  <si>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</si>
  <si>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</si>
  <si>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</si>
  <si>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</si>
  <si>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</si>
  <si>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</si>
  <si>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</si>
  <si>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</si>
  <si>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</si>
  <si>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</si>
  <si>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</si>
  <si>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</si>
  <si>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</si>
  <si>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</si>
  <si>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</si>
  <si>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</si>
  <si>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</si>
  <si>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</si>
  <si>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</si>
  <si>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</si>
  <si>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</si>
  <si>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</si>
  <si>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</si>
  <si>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</si>
  <si>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</si>
  <si>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</si>
  <si>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</si>
  <si>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</si>
  <si>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</si>
  <si>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</si>
  <si>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</si>
  <si>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</si>
  <si>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</si>
  <si>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</si>
  <si>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</si>
  <si>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</si>
  <si>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</si>
  <si>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</si>
  <si>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</si>
  <si>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</si>
  <si>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</si>
  <si>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</si>
  <si>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</si>
  <si>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</si>
  <si>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</si>
  <si>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</si>
  <si>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</si>
  <si>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</si>
  <si>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</si>
  <si>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</si>
  <si>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</si>
  <si>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</si>
  <si>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</si>
  <si>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</si>
  <si>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</si>
  <si>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</si>
  <si>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</si>
  <si>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</si>
  <si>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</si>
  <si>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</si>
  <si>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</si>
  <si>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</si>
  <si>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</si>
  <si>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</si>
  <si>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</si>
  <si>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</si>
  <si>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</si>
  <si>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</si>
  <si>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</si>
  <si>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</si>
  <si>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</si>
  <si>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</si>
  <si>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</si>
  <si>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</si>
  <si>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</si>
  <si>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</si>
  <si>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</si>
  <si>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</si>
  <si>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</si>
  <si>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</si>
  <si>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</si>
  <si>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</si>
  <si>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</si>
  <si>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</si>
  <si>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</si>
  <si>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</si>
  <si>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</si>
  <si>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</si>
  <si>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</si>
  <si>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</si>
  <si>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</si>
  <si>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</si>
  <si>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</si>
  <si>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</si>
  <si>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</si>
  <si>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</si>
  <si>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</si>
  <si>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</si>
  <si>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</si>
  <si>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</si>
  <si>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</si>
  <si>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</si>
  <si>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</si>
  <si>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</si>
  <si>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</si>
  <si>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</si>
  <si>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</si>
  <si>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</si>
  <si>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</si>
  <si>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</si>
  <si>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</si>
  <si>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</si>
  <si>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</si>
  <si>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</si>
  <si>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</si>
  <si>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</si>
  <si>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</si>
  <si>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</si>
  <si>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</si>
  <si>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</si>
  <si>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</si>
  <si>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</si>
  <si>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</si>
  <si>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</si>
  <si>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</si>
  <si>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</si>
  <si>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</si>
  <si>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</si>
  <si>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</si>
  <si>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</si>
  <si>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</si>
  <si>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</si>
  <si>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</si>
  <si>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</si>
  <si>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</si>
  <si>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</si>
  <si>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</si>
  <si>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</si>
  <si>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</si>
  <si>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</si>
  <si>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</si>
  <si>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</si>
  <si>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</si>
  <si>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</si>
  <si>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</si>
  <si>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</si>
  <si>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</si>
  <si>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</si>
  <si>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</si>
  <si>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</si>
  <si>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</si>
  <si>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</si>
  <si>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</si>
  <si>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</si>
  <si>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</si>
  <si>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</si>
  <si>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</si>
  <si>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</si>
  <si>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</si>
  <si>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</si>
  <si>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</si>
  <si>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</si>
  <si>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</si>
  <si>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</si>
  <si>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</si>
  <si>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</si>
  <si>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</si>
  <si>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</si>
  <si>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</si>
  <si>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</si>
  <si>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</si>
  <si>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</si>
  <si>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</si>
  <si>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</si>
  <si>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</si>
  <si>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</si>
  <si>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</si>
  <si>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</si>
  <si>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</si>
  <si>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</si>
  <si>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</si>
  <si>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</si>
  <si>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</si>
  <si>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</si>
  <si>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</si>
  <si>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</si>
  <si>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</si>
  <si>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</si>
  <si>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</si>
  <si>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</si>
  <si>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</si>
  <si>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</si>
  <si>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</si>
  <si>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</si>
  <si>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</si>
  <si>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</si>
  <si>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</si>
  <si>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</si>
  <si>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</si>
  <si>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</si>
  <si>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</si>
  <si>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</si>
  <si>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</si>
  <si>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</si>
  <si>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</si>
  <si>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</si>
  <si>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</si>
  <si>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</si>
  <si>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</si>
  <si>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</si>
  <si>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</si>
  <si>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</si>
  <si>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</si>
  <si>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</si>
  <si>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</si>
  <si>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</si>
  <si>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</si>
  <si>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</si>
  <si>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</si>
  <si>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</si>
  <si>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</si>
  <si>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</si>
  <si>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</si>
  <si>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</si>
  <si>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</si>
  <si>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</si>
  <si>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</si>
  <si>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</si>
  <si>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</si>
  <si>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</si>
  <si>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</si>
  <si>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</si>
  <si>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</si>
  <si>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</si>
  <si>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</si>
  <si>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</si>
  <si>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</si>
  <si>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</si>
  <si>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</si>
  <si>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</si>
  <si>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</si>
  <si>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</si>
  <si>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</si>
  <si>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</si>
  <si>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</si>
  <si>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</si>
  <si>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</si>
  <si>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</si>
  <si>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</si>
  <si>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</si>
  <si>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</si>
  <si>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</si>
  <si>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</si>
  <si>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</si>
  <si>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</si>
  <si>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</si>
  <si>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</si>
  <si>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</si>
  <si>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</si>
  <si>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</si>
  <si>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</si>
  <si>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</si>
  <si>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</si>
  <si>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</si>
  <si>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</si>
  <si>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</si>
  <si>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</si>
  <si>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</si>
  <si>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</si>
  <si>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</si>
  <si>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</si>
  <si>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</si>
  <si>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</si>
  <si>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</si>
  <si>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</si>
  <si>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</si>
  <si>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</si>
  <si>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</si>
  <si>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</si>
  <si>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</si>
  <si>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</si>
  <si>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</si>
  <si>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</si>
  <si>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</si>
  <si>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</si>
  <si>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</si>
  <si>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</si>
  <si>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</si>
  <si>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</si>
  <si>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</si>
  <si>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</si>
  <si>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</si>
  <si>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</si>
  <si>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</si>
  <si>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</si>
  <si>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</si>
  <si>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</si>
  <si>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</si>
  <si>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</si>
  <si>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</si>
  <si>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</si>
  <si>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</si>
  <si>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</si>
  <si>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</si>
  <si>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</si>
  <si>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</si>
  <si>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</si>
  <si>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</si>
  <si>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</si>
  <si>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</si>
  <si>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</si>
  <si>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</si>
  <si>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</si>
  <si>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</si>
  <si>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</si>
  <si>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</si>
  <si>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</si>
  <si>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</si>
  <si>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</si>
  <si>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</si>
  <si>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</si>
  <si>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</si>
  <si>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</si>
  <si>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</si>
  <si>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</si>
  <si>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</si>
  <si>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</si>
  <si>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</si>
  <si>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</si>
  <si>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</si>
  <si>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</si>
  <si>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</si>
  <si>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</si>
  <si>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</si>
  <si>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</si>
  <si>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</si>
  <si>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</si>
  <si>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</si>
  <si>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</si>
  <si>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</si>
  <si>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</si>
  <si>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</si>
  <si>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</si>
  <si>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</si>
  <si>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</si>
  <si>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</si>
  <si>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</si>
  <si>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</si>
  <si>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</si>
  <si>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</si>
  <si>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</si>
  <si>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</si>
  <si>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</si>
  <si>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</si>
  <si>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</si>
  <si>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</si>
  <si>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</si>
  <si>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</si>
  <si>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</si>
  <si>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</si>
  <si>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</si>
  <si>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</si>
  <si>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</si>
  <si>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</si>
  <si>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</si>
  <si>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</si>
  <si>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</si>
  <si>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</si>
  <si>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</si>
  <si>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</si>
  <si>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</si>
  <si>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</si>
  <si>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</si>
  <si>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</si>
  <si>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</si>
  <si>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</si>
  <si>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</si>
  <si>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</si>
  <si>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</si>
  <si>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</si>
  <si>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</si>
  <si>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</si>
  <si>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</si>
  <si>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</si>
  <si>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</si>
  <si>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</si>
  <si>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</si>
  <si>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</si>
  <si>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</si>
  <si>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</si>
  <si>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</si>
  <si>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</si>
  <si>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</si>
  <si>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</si>
  <si>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</si>
  <si>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</si>
  <si>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</si>
  <si>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</si>
  <si>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</si>
  <si>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</si>
  <si>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</si>
  <si>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</si>
  <si>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</si>
  <si>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</si>
  <si>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</si>
  <si>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</si>
  <si>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</si>
  <si>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</si>
  <si>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</si>
  <si>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</si>
  <si>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</si>
  <si>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</si>
  <si>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</si>
  <si>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</si>
  <si>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</si>
  <si>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</si>
  <si>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</si>
  <si>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</si>
  <si>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</si>
  <si>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</si>
  <si>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</si>
  <si>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</si>
  <si>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</si>
  <si>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</si>
  <si>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</si>
  <si>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</si>
  <si>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</si>
  <si>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</si>
  <si>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</si>
  <si>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</si>
  <si>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</si>
  <si>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</si>
  <si>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</si>
  <si>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</si>
  <si>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</si>
  <si>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</si>
  <si>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</si>
  <si>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</si>
  <si>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</si>
  <si>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</si>
  <si>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</si>
  <si>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</si>
  <si>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</si>
  <si>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</si>
  <si>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</si>
  <si>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</si>
  <si>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</si>
  <si>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</si>
  <si>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</si>
  <si>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</si>
  <si>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</si>
  <si>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</si>
  <si>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</si>
  <si>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</si>
  <si>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</si>
  <si>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</si>
  <si>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</si>
  <si>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</si>
  <si>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</si>
  <si>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</si>
  <si>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</si>
  <si>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</si>
  <si>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</si>
  <si>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</si>
  <si>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</si>
  <si>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</si>
  <si>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</si>
  <si>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</si>
  <si>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</si>
  <si>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</si>
  <si>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</si>
  <si>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</si>
  <si>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</si>
  <si>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</si>
  <si>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</si>
  <si>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</si>
  <si>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</si>
  <si>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</si>
  <si>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자동지정</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</si>
  <si>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</si>
  <si>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</si>
  <si>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</si>
  <si>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</si>
  <si>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</si>
  <si>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</si>
  <si>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</si>
  <si>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</si>
  <si>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</si>
  <si>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</si>
  <si>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</si>
  <si>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</si>
  <si>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</si>
  <si>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</si>
  <si>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</si>
  <si>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</si>
  <si>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</si>
  <si>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</si>
  <si>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</si>
  <si>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</si>
  <si>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</si>
  <si>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</si>
  <si>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</si>
  <si>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</si>
  <si>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</si>
  <si>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</si>
  <si>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</si>
  <si>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</si>
  <si>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</si>
  <si>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</si>
  <si>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</si>
  <si>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</si>
  <si>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</si>
  <si>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</si>
  <si>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</si>
  <si>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</si>
  <si>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</si>
  <si>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</si>
  <si>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</si>
  <si>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</si>
  <si>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</si>
  <si>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</si>
  <si>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</si>
  <si>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</si>
  <si>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</si>
  <si>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</si>
  <si>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</si>
  <si>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</si>
  <si>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</si>
  <si>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</si>
  <si>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</si>
  <si>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</si>
  <si>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</si>
  <si>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</si>
  <si>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</si>
  <si>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</si>
  <si>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</si>
  <si>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</si>
  <si>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</si>
  <si>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</si>
  <si>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</si>
  <si>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</si>
  <si>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</si>
  <si>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</si>
  <si>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</si>
  <si>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</si>
  <si>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</si>
  <si>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</si>
  <si>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</si>
  <si>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</si>
  <si>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</si>
  <si>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</si>
  <si>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</si>
  <si>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</si>
  <si>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</si>
  <si>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</si>
  <si>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</si>
  <si>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</si>
  <si>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</si>
  <si>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</si>
  <si>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</si>
  <si>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</si>
  <si>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</si>
  <si>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</si>
  <si>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</si>
  <si>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</si>
  <si>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</si>
  <si>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</si>
  <si>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</si>
  <si>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</si>
  <si>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</si>
  <si>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</si>
  <si>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</si>
  <si>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</si>
  <si>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</si>
  <si>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</si>
  <si>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</si>
  <si>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</si>
  <si>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</si>
  <si>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</si>
  <si>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</si>
  <si>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</si>
  <si>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</si>
  <si>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</si>
  <si>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</si>
  <si>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</si>
  <si>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</si>
  <si>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</si>
  <si>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</si>
  <si>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</si>
  <si>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</si>
  <si>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</si>
  <si>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</si>
  <si>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</si>
  <si>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</si>
  <si>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</si>
  <si>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</si>
  <si>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</si>
  <si>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</si>
  <si>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</si>
  <si>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</si>
  <si>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</si>
  <si>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</si>
  <si>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</si>
  <si>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</si>
  <si>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</si>
  <si>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</si>
  <si>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</si>
  <si>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</si>
  <si>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</si>
  <si>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</si>
  <si>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</si>
  <si>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</si>
  <si>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</si>
  <si>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</si>
  <si>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</si>
  <si>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</si>
  <si>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</si>
  <si>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</si>
  <si>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</si>
  <si>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</si>
  <si>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</si>
  <si>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</si>
  <si>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</si>
  <si>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</si>
  <si>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</si>
  <si>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</si>
  <si>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</si>
  <si>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</si>
  <si>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</si>
  <si>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</si>
  <si>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</si>
  <si>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DEFINED</t>
    <phoneticPr fontId="1" type="noConversion"/>
  </si>
  <si>
    <t>09/04
W37</t>
  </si>
  <si>
    <t>10/02
W41</t>
  </si>
  <si>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</si>
  <si>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</si>
  <si>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</si>
  <si>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</si>
  <si>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</si>
  <si>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</si>
  <si>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</si>
  <si>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</si>
  <si>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</si>
  <si>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</si>
  <si>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</si>
  <si>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</si>
  <si>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</si>
  <si>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</si>
  <si>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t>프로젝트 범위 정의</t>
  </si>
  <si>
    <t>프로젝트 보고</t>
  </si>
  <si>
    <t>발표 준비</t>
  </si>
  <si>
    <t>발표</t>
  </si>
  <si>
    <t>1.4</t>
  </si>
  <si>
    <t>네트워크</t>
  </si>
  <si>
    <t>요구사항 정의</t>
  </si>
  <si>
    <t>클라이언트</t>
  </si>
  <si>
    <t>서버</t>
  </si>
  <si>
    <t>UI</t>
  </si>
  <si>
    <t>Git  구조 설계</t>
  </si>
  <si>
    <t>클라이언트 설계</t>
  </si>
  <si>
    <t>서버 설계</t>
  </si>
  <si>
    <t>네트워크 설계</t>
  </si>
  <si>
    <t>구현 계획 수립</t>
  </si>
  <si>
    <t>PPT 작성</t>
  </si>
  <si>
    <t>HWP 서류 작성</t>
  </si>
  <si>
    <t>발표 자료 작성</t>
  </si>
  <si>
    <t>캡스톤 부스 꾸미기</t>
  </si>
  <si>
    <t>담당자 분배</t>
  </si>
  <si>
    <t>1.4.1</t>
  </si>
  <si>
    <t>1.4.2</t>
  </si>
  <si>
    <t>`</t>
  </si>
  <si>
    <t>이무현</t>
  </si>
  <si>
    <t>이태양</t>
  </si>
  <si>
    <t>장진</t>
  </si>
  <si>
    <t>유영주</t>
  </si>
  <si>
    <t>이종수</t>
  </si>
  <si>
    <t>PM</t>
  </si>
  <si>
    <t>Git 관리자</t>
  </si>
  <si>
    <t>TODAY</t>
    <phoneticPr fontId="1" type="noConversion"/>
  </si>
  <si>
    <t>ppt*</t>
    <phoneticPr fontId="1" type="noConversion"/>
  </si>
  <si>
    <t>doc*</t>
    <phoneticPr fontId="1" type="noConversion"/>
  </si>
  <si>
    <t>xls*</t>
    <phoneticPr fontId="1" type="noConversion"/>
  </si>
  <si>
    <t>dwg</t>
    <phoneticPr fontId="1" type="noConversion"/>
  </si>
  <si>
    <t>html</t>
    <phoneticPr fontId="1" type="noConversion"/>
  </si>
  <si>
    <t>C:\WINDOWS\system32\notepad.exe</t>
    <phoneticPr fontId="1" type="noConversion"/>
  </si>
  <si>
    <t>F</t>
    <phoneticPr fontId="1" type="noConversion"/>
  </si>
  <si>
    <t>1:English,82:Korean,999:Custom</t>
    <phoneticPr fontId="1" type="noConversion"/>
  </si>
  <si>
    <t>클라이언트 모듈</t>
  </si>
  <si>
    <t>서버 모듈</t>
  </si>
  <si>
    <t>1.2.5</t>
  </si>
  <si>
    <t>1.2.6</t>
  </si>
  <si>
    <t>1.2.7</t>
  </si>
  <si>
    <t>1.5</t>
  </si>
  <si>
    <t>1.5.1</t>
  </si>
  <si>
    <t>1.5.2</t>
  </si>
  <si>
    <t>UI 클라이언트</t>
  </si>
  <si>
    <t>UI 서버</t>
  </si>
  <si>
    <t>10/30
W45</t>
  </si>
  <si>
    <t>개발시나리오</t>
  </si>
  <si>
    <t>서버 UI 설계도 작성</t>
  </si>
  <si>
    <t>클라이언트 UI 설계도 작성</t>
  </si>
  <si>
    <t>채팅</t>
  </si>
  <si>
    <t>전체</t>
  </si>
  <si>
    <t>귓속말</t>
  </si>
  <si>
    <t>질문</t>
  </si>
  <si>
    <t>객관식</t>
  </si>
  <si>
    <t>공유 그림판</t>
  </si>
  <si>
    <t>텍스트</t>
  </si>
  <si>
    <t>펜</t>
  </si>
  <si>
    <t>도형</t>
  </si>
  <si>
    <t>화면 송수신</t>
  </si>
  <si>
    <t>클라이언트 송신</t>
  </si>
  <si>
    <t>서버 수신</t>
  </si>
  <si>
    <t>서버 송신</t>
  </si>
  <si>
    <t>클라이언트 수신</t>
  </si>
  <si>
    <t>ㅑ</t>
  </si>
  <si>
    <t>SCHEDULE_SHEET_POSITION:3545151617181920212223242526272829303132</t>
    <phoneticPr fontId="1" type="noConversion"/>
  </si>
  <si>
    <t>3.1</t>
  </si>
  <si>
    <t>3.1.1</t>
  </si>
  <si>
    <t>3.1.2</t>
  </si>
  <si>
    <t>3.2</t>
  </si>
  <si>
    <t>3.2.1</t>
  </si>
  <si>
    <t>3.2.2</t>
  </si>
  <si>
    <t>3.2.3</t>
  </si>
  <si>
    <t>3.2.4</t>
  </si>
  <si>
    <t>3.3</t>
  </si>
  <si>
    <t>3.3.1</t>
  </si>
  <si>
    <t>3.3.1.1</t>
  </si>
  <si>
    <t>3.3.1.2</t>
  </si>
  <si>
    <t>3.3.1.3</t>
  </si>
  <si>
    <t>3.3.2</t>
  </si>
  <si>
    <t>3.3.2.1</t>
  </si>
  <si>
    <t>3.3.2.1.1</t>
  </si>
  <si>
    <t>3.3.2.1.2</t>
  </si>
  <si>
    <t>3.3.2.2</t>
  </si>
  <si>
    <t>3.3.2.2.1</t>
  </si>
  <si>
    <t>3.3.2.2.2</t>
  </si>
  <si>
    <t>3.3.2.2.3</t>
  </si>
  <si>
    <t>3.3.2.3</t>
  </si>
  <si>
    <t>3.3.2.3.1</t>
  </si>
  <si>
    <t>3.3.2.3.2</t>
  </si>
  <si>
    <t>3.3.2.3.3</t>
  </si>
  <si>
    <t>3.3.2.3.4</t>
  </si>
  <si>
    <t>3.3.2.3.5</t>
  </si>
  <si>
    <t>3.3.2.3.6</t>
  </si>
  <si>
    <t>3.3.2.4</t>
  </si>
  <si>
    <t>3.3.2.4.1</t>
  </si>
  <si>
    <t>3.3.2.4.2</t>
  </si>
  <si>
    <t>3.3.3</t>
  </si>
  <si>
    <t>3.3.3.1</t>
  </si>
  <si>
    <t>3.3.3.1.1</t>
  </si>
  <si>
    <t>3.3.3.1.2</t>
  </si>
  <si>
    <t>3.3.3.2</t>
  </si>
  <si>
    <t>3.3.3.2.1</t>
  </si>
  <si>
    <t>3.3.3.2.2</t>
  </si>
  <si>
    <t>3.3.3.2.3</t>
  </si>
  <si>
    <t>3.3.3.3</t>
  </si>
  <si>
    <t>3.3.3.3.1</t>
  </si>
  <si>
    <t>3.3.3.3.2</t>
  </si>
  <si>
    <t>3.3.3.3.3</t>
  </si>
  <si>
    <t>3.3.3.3.4</t>
  </si>
  <si>
    <t>3.3.3.3.5</t>
  </si>
  <si>
    <t>3.3.3.4</t>
  </si>
  <si>
    <t>3.3.3.4.1</t>
  </si>
  <si>
    <t>3.3.3.4.2</t>
  </si>
  <si>
    <t>4.1</t>
  </si>
  <si>
    <t>4.2</t>
  </si>
  <si>
    <t>4.2.1</t>
  </si>
  <si>
    <t>4.2.2</t>
  </si>
  <si>
    <t>4.2.3</t>
  </si>
  <si>
    <t>4.2.4</t>
  </si>
  <si>
    <t>4.3</t>
  </si>
  <si>
    <t>4.3.1</t>
  </si>
  <si>
    <t>4.3.1.1</t>
  </si>
  <si>
    <t>4.3.1.2</t>
  </si>
  <si>
    <t>4.3.2</t>
  </si>
  <si>
    <t>4.3.2.1</t>
  </si>
  <si>
    <t>4.3.2.2</t>
  </si>
  <si>
    <t>4.3.2.3</t>
  </si>
  <si>
    <t>4.3.3</t>
  </si>
  <si>
    <t>4.3.3.1</t>
  </si>
  <si>
    <t>4.3.3.2</t>
  </si>
  <si>
    <t>4.3.3.3</t>
  </si>
  <si>
    <t>4.3.3.4</t>
  </si>
  <si>
    <t>4.3.3.5</t>
  </si>
  <si>
    <t>4.3.3.6</t>
  </si>
  <si>
    <t>4.3.4</t>
  </si>
  <si>
    <t>4.3.4.1</t>
  </si>
  <si>
    <t>4.3.4.2</t>
  </si>
  <si>
    <t>4.4</t>
  </si>
  <si>
    <t>4.4.1</t>
  </si>
  <si>
    <t>4.4.1.1</t>
  </si>
  <si>
    <t>4.4.1.2</t>
  </si>
  <si>
    <t>4.4.2</t>
  </si>
  <si>
    <t>4.4.2.1</t>
  </si>
  <si>
    <t>4.4.2.2</t>
  </si>
  <si>
    <t>4.4.2.3</t>
  </si>
  <si>
    <t>4.4.3</t>
  </si>
  <si>
    <t>4.4.3.1</t>
  </si>
  <si>
    <t>4.4.3.2</t>
  </si>
  <si>
    <t>4.4.3.3</t>
  </si>
  <si>
    <t>4.4.3.4</t>
  </si>
  <si>
    <t>4.4.3.5</t>
  </si>
  <si>
    <t>4.4.4</t>
  </si>
  <si>
    <t>4.4.4.1</t>
  </si>
  <si>
    <t>4.4.4.2</t>
  </si>
  <si>
    <t>11/27
W49</t>
  </si>
  <si>
    <t>W13</t>
  </si>
  <si>
    <t>UI 설계도.jpg</t>
  </si>
  <si>
    <t>그림판</t>
  </si>
  <si>
    <t>파일 저장 기능</t>
  </si>
  <si>
    <t>교수 화면 캡쳐기능</t>
  </si>
  <si>
    <t>구글 드라이브</t>
  </si>
  <si>
    <t>로그인</t>
  </si>
  <si>
    <t>드라이브 저장</t>
  </si>
  <si>
    <t>3.3.2.5</t>
  </si>
  <si>
    <t>3.3.2.5.1</t>
  </si>
  <si>
    <t>3.3.2.5.2</t>
  </si>
  <si>
    <t>캐릭터 게임형</t>
  </si>
  <si>
    <t>스피드 게임형</t>
  </si>
  <si>
    <t>주관식</t>
  </si>
  <si>
    <t>캡처 리스트</t>
  </si>
  <si>
    <t>3.3.2.4.3</t>
  </si>
  <si>
    <t>드라이브 페이지 열기</t>
  </si>
  <si>
    <t>지우기/전체지우기</t>
  </si>
  <si>
    <t>레이어 기능</t>
  </si>
  <si>
    <t>3.3.2.5.3</t>
  </si>
  <si>
    <t>3.3.3.2.4</t>
  </si>
  <si>
    <t>클라이언트 화면 리스트</t>
  </si>
  <si>
    <t>3.3.3.4.3</t>
  </si>
  <si>
    <t>4.3.4.3</t>
  </si>
  <si>
    <t>4.3.5</t>
  </si>
  <si>
    <t>4.3.5.1</t>
  </si>
  <si>
    <t>4.3.5.2</t>
  </si>
  <si>
    <t>4.3.5.3</t>
  </si>
  <si>
    <t>4.4.4.3</t>
  </si>
  <si>
    <t>이종수[50%],유영주[50%]</t>
  </si>
  <si>
    <t>장진[50%],이태양[50%]</t>
  </si>
  <si>
    <t>이종수[50%],편성윤[50%]</t>
  </si>
  <si>
    <t>{"TASK_FIRST_COL":"5","START_ROW":"5","WBS_AREA_LAST_COL":"31"}</t>
    <phoneticPr fontId="1" type="noConversion"/>
  </si>
  <si>
    <t>Reference</t>
    <phoneticPr fontId="1" type="noConversion"/>
  </si>
  <si>
    <t>F:\Project\캡스톤 디자인\WBS</t>
    <phoneticPr fontId="1" type="noConversion"/>
  </si>
  <si>
    <t>파워포인트</t>
    <phoneticPr fontId="1" type="noConversion"/>
  </si>
  <si>
    <t>워드</t>
    <phoneticPr fontId="1" type="noConversion"/>
  </si>
  <si>
    <t>엑셀</t>
    <phoneticPr fontId="1" type="noConversion"/>
  </si>
  <si>
    <t>C:\Program Files\Autodesk\AutoCAD 2019\acad.exe</t>
    <phoneticPr fontId="1" type="noConversion"/>
  </si>
  <si>
    <t>Notepad++</t>
    <phoneticPr fontId="1" type="noConversion"/>
  </si>
  <si>
    <t>메모장</t>
    <phoneticPr fontId="1" type="noConversion"/>
  </si>
  <si>
    <t>txt</t>
    <phoneticPr fontId="1" type="noConversion"/>
  </si>
  <si>
    <t>PDF</t>
    <phoneticPr fontId="1" type="noConversion"/>
  </si>
  <si>
    <t>pdf</t>
    <phoneticPr fontId="1" type="noConversion"/>
  </si>
  <si>
    <t>C:\Program Files\Adobe\Acrobat DC\Acrobat\acrobat.exe</t>
    <phoneticPr fontId="1" type="noConversion"/>
  </si>
  <si>
    <t>Window 사진 뷰어어</t>
  </si>
  <si>
    <t>jpg</t>
  </si>
  <si>
    <t>NetWork.pptx</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</si>
  <si>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</si>
  <si>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실적기성(총기간 x 총실적진행율)</t>
    <phoneticPr fontId="3" type="noConversion"/>
  </si>
  <si>
    <t>필기노트</t>
  </si>
  <si>
    <t>서버 개발 시나리오.docx</t>
  </si>
  <si>
    <t>모듈구현</t>
  </si>
  <si>
    <t>UI구현</t>
  </si>
  <si>
    <t>O/X</t>
  </si>
  <si>
    <t>4.3.2.1.1</t>
  </si>
  <si>
    <t>4.3.2.1.2</t>
  </si>
  <si>
    <t>4.3.2.2.1</t>
  </si>
  <si>
    <t>4.3.2.2.2</t>
  </si>
  <si>
    <t>4.3.2.3.1</t>
  </si>
  <si>
    <t>4.3.2.3.2</t>
  </si>
  <si>
    <t>5.1</t>
  </si>
  <si>
    <t>5.2</t>
  </si>
  <si>
    <t>5.2.1</t>
  </si>
  <si>
    <t>5.2.2</t>
  </si>
  <si>
    <t>5.2.3</t>
  </si>
  <si>
    <t>5.2.4</t>
  </si>
  <si>
    <t>5.3</t>
  </si>
  <si>
    <t>5.3.1</t>
  </si>
  <si>
    <t>5.3.1.1</t>
  </si>
  <si>
    <t>5.3.1.2</t>
  </si>
  <si>
    <t>5.3.2</t>
  </si>
  <si>
    <t>5.3.2.1</t>
  </si>
  <si>
    <t>5.3.2.2</t>
  </si>
  <si>
    <t>5.3.2.3</t>
  </si>
  <si>
    <t>5.3.3</t>
  </si>
  <si>
    <t>5.3.3.1</t>
  </si>
  <si>
    <t>5.3.3.2</t>
  </si>
  <si>
    <t>5.3.3.3</t>
  </si>
  <si>
    <t>5.3.3.4</t>
  </si>
  <si>
    <t>5.3.3.5</t>
  </si>
  <si>
    <t>5.3.4</t>
  </si>
  <si>
    <t>5.3.4.1</t>
  </si>
  <si>
    <t>5.3.4.2</t>
  </si>
  <si>
    <t>5.3.4.3</t>
  </si>
  <si>
    <t>기본형</t>
  </si>
  <si>
    <t>4.3.2.1.3</t>
  </si>
  <si>
    <t>4.3.2.2.3</t>
  </si>
  <si>
    <t>3.3.2.2.1.1</t>
  </si>
  <si>
    <t>3.3.2.2.1.2</t>
  </si>
  <si>
    <t>3.3.2.2.1.3</t>
  </si>
  <si>
    <t>3.3.2.2.2.1</t>
  </si>
  <si>
    <t>3.3.2.2.2.2</t>
  </si>
  <si>
    <t>3.3.2.2.2.3</t>
  </si>
  <si>
    <t>3.3.2.2.3.1</t>
  </si>
  <si>
    <t>3.3.2.2.3.2</t>
  </si>
  <si>
    <t>4.4.2.1.1</t>
  </si>
  <si>
    <t>4.4.2.1.2</t>
  </si>
  <si>
    <t>4.4.2.1.3</t>
  </si>
  <si>
    <t>4.4.2.2.1</t>
  </si>
  <si>
    <t>4.4.2.2.2</t>
  </si>
  <si>
    <t>4.4.2.2.3</t>
  </si>
  <si>
    <t>4.4.2.3.1</t>
  </si>
  <si>
    <t>4.4.2.3.2</t>
  </si>
  <si>
    <t>5.3.2.1.1</t>
  </si>
  <si>
    <t>5.3.2.1.2</t>
  </si>
  <si>
    <t>5.3.2.1.3</t>
  </si>
  <si>
    <t>5.3.2.2.1</t>
  </si>
  <si>
    <t>5.3.2.2.2</t>
  </si>
  <si>
    <t>5.3.2.2.3</t>
  </si>
  <si>
    <t>5.3.2.3.1</t>
  </si>
  <si>
    <t>5.3.2.3.2</t>
  </si>
  <si>
    <t>5.2.1.1</t>
  </si>
  <si>
    <t>5.2.1.2</t>
  </si>
  <si>
    <t>5.2.2.1</t>
  </si>
  <si>
    <t>5.2.2.1.1</t>
  </si>
  <si>
    <t>5.2.2.1.2</t>
  </si>
  <si>
    <t>5.2.2.1.3</t>
  </si>
  <si>
    <t>5.2.2.2</t>
  </si>
  <si>
    <t>5.2.2.2.1</t>
  </si>
  <si>
    <t>5.2.2.2.2</t>
  </si>
  <si>
    <t>5.2.2.2.3</t>
  </si>
  <si>
    <t>5.2.2.3</t>
  </si>
  <si>
    <t>5.2.2.3.1</t>
  </si>
  <si>
    <t>5.2.2.3.2</t>
  </si>
  <si>
    <t>5.2.3.1</t>
  </si>
  <si>
    <t>5.2.3.2</t>
  </si>
  <si>
    <t>5.2.3.3</t>
  </si>
  <si>
    <t>5.2.3.4</t>
  </si>
  <si>
    <t>5.2.3.5</t>
  </si>
  <si>
    <t>5.2.3.6</t>
  </si>
  <si>
    <t>5.2.4.1</t>
  </si>
  <si>
    <t>5.2.4.2</t>
  </si>
  <si>
    <t>5.2.4.3</t>
  </si>
  <si>
    <t>5.2.5</t>
  </si>
  <si>
    <t>5.2.5.1</t>
  </si>
  <si>
    <t>5.2.5.2</t>
  </si>
  <si>
    <t>5.2.5.3</t>
  </si>
  <si>
    <t>이종수[50%],장진[50%]</t>
  </si>
  <si>
    <t>유영주[50%],이무현[50%],이태양[50%],편성윤[50%]</t>
  </si>
  <si>
    <t>실제_x000D_
총작업량</t>
    <phoneticPr fontId="3" type="noConversion"/>
  </si>
  <si>
    <t>실제_x000D_
총기간</t>
    <phoneticPr fontId="3" type="noConversion"/>
  </si>
  <si>
    <t>산출물</t>
    <phoneticPr fontId="3" type="noConversion"/>
  </si>
  <si>
    <t>편성윤</t>
  </si>
  <si>
    <t>캡스톤디자인_reference_팀_클라이언트모듈_시나리오.docx</t>
  </si>
  <si>
    <t>클라이언트 개발 시나리오.docx</t>
  </si>
  <si>
    <t>reserved</t>
    <phoneticPr fontId="3" type="noConversion"/>
  </si>
  <si>
    <t>wbs_level</t>
    <phoneticPr fontId="3" type="noConversion"/>
  </si>
  <si>
    <t>계획_x000D_
기간</t>
    <phoneticPr fontId="3" type="noConversion"/>
  </si>
  <si>
    <t>담당</t>
    <phoneticPr fontId="3" type="noConversion"/>
  </si>
  <si>
    <t>계획</t>
    <phoneticPr fontId="3" type="noConversion"/>
  </si>
  <si>
    <t>실적*</t>
    <phoneticPr fontId="3" type="noConversion"/>
  </si>
  <si>
    <t>총_x000D_
작업량</t>
    <phoneticPr fontId="3" type="noConversion"/>
  </si>
  <si>
    <t>task_group</t>
    <phoneticPr fontId="3" type="noConversion"/>
  </si>
  <si>
    <t>총_x000D_
기간</t>
    <phoneticPr fontId="3" type="noConversion"/>
  </si>
  <si>
    <t>실제_x000D_
시작일</t>
    <phoneticPr fontId="3" type="noConversion"/>
  </si>
  <si>
    <t>작업*</t>
    <phoneticPr fontId="3" type="noConversion"/>
  </si>
  <si>
    <t>비고</t>
    <phoneticPr fontId="3" type="noConversion"/>
  </si>
  <si>
    <t>Calendar</t>
    <phoneticPr fontId="3" type="noConversion"/>
  </si>
  <si>
    <t>계획_x000D_
작업량</t>
    <phoneticPr fontId="3" type="noConversion"/>
  </si>
  <si>
    <t>실제_x000D_
완료일</t>
    <phoneticPr fontId="3" type="noConversion"/>
  </si>
  <si>
    <t>가중치</t>
    <phoneticPr fontId="3" type="noConversion"/>
  </si>
  <si>
    <t>프로젝트 진척율 - 일정변경 관리하지 않을때</t>
    <phoneticPr fontId="3" type="noConversion"/>
  </si>
  <si>
    <t>완료일*</t>
    <phoneticPr fontId="3" type="noConversion"/>
  </si>
  <si>
    <t>WBS</t>
    <phoneticPr fontId="3" type="noConversion"/>
  </si>
  <si>
    <t>시작일*</t>
    <phoneticPr fontId="3" type="noConversion"/>
  </si>
  <si>
    <t>실적기성</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</si>
</sst>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91">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4" xfId="0" applyFont="1" applyBorder="1" applyAlignment="1" applyProtection="1">
      <alignment horizontal="left" vertical="center"/>
      <protection locked="0"/>
    </xf>
    <xf numFmtId="14" fontId="43" fillId="18" borderId="25" xfId="0" applyNumberFormat="1" applyFont="1" applyFill="1" applyBorder="1" applyAlignment="1">
      <alignment horizontal="center" vertical="center"/>
    </xf>
    <xf numFmtId="14" fontId="43" fillId="18" borderId="26" xfId="0" applyNumberFormat="1" applyFont="1" applyFill="1" applyBorder="1" applyAlignment="1">
      <alignment horizontal="center" vertical="center"/>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Border="1" applyAlignment="1">
      <alignment vertical="top"/>
    </xf>
    <xf numFmtId="0" fontId="8" fillId="21"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1" borderId="0" xfId="0" applyFont="1" applyFill="1" applyAlignment="1"/>
    <xf numFmtId="0" fontId="2" fillId="21" borderId="0" xfId="1" applyFill="1" applyBorder="1" applyAlignment="1">
      <alignment horizontal="left" vertical="top"/>
    </xf>
    <xf numFmtId="14" fontId="8" fillId="21"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0" fontId="7" fillId="0" borderId="10" xfId="0" applyNumberFormat="1" applyFont="1" applyBorder="1"/>
    <xf numFmtId="14" fontId="7" fillId="0" borderId="30" xfId="0" applyNumberFormat="1" applyFont="1" applyBorder="1"/>
    <xf numFmtId="0" fontId="7" fillId="0" borderId="30" xfId="0" applyFont="1" applyBorder="1"/>
    <xf numFmtId="0" fontId="7" fillId="0" borderId="30" xfId="0" applyNumberFormat="1"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applyBorder="1"/>
    <xf numFmtId="0" fontId="57" fillId="0" borderId="0" xfId="0" applyFont="1" applyAlignment="1">
      <alignment horizontal="left" vertical="center"/>
    </xf>
    <xf numFmtId="0" fontId="7" fillId="0" borderId="7" xfId="0" applyFont="1" applyBorder="1"/>
    <xf numFmtId="2" fontId="7" fillId="0" borderId="0" xfId="0" applyNumberFormat="1" applyFont="1" applyBorder="1"/>
    <xf numFmtId="2" fontId="7" fillId="0" borderId="10" xfId="0" applyNumberFormat="1" applyFont="1" applyBorder="1"/>
    <xf numFmtId="10" fontId="58" fillId="0" borderId="10" xfId="0" applyNumberFormat="1" applyFont="1" applyBorder="1"/>
    <xf numFmtId="2" fontId="7" fillId="0" borderId="30" xfId="0" applyNumberFormat="1" applyFont="1" applyBorder="1"/>
    <xf numFmtId="10" fontId="58" fillId="0" borderId="30" xfId="0" applyNumberFormat="1" applyFont="1" applyBorder="1"/>
    <xf numFmtId="0" fontId="18" fillId="0" borderId="23" xfId="0" applyFont="1" applyBorder="1" applyAlignment="1" applyProtection="1">
      <alignment horizontal="left" vertical="center"/>
      <protection locked="0"/>
    </xf>
    <xf numFmtId="0" fontId="43" fillId="18" borderId="26" xfId="0" applyFont="1" applyFill="1" applyBorder="1" applyAlignment="1">
      <alignment horizontal="left" vertical="center"/>
    </xf>
    <xf numFmtId="0" fontId="43" fillId="18" borderId="27" xfId="0" applyFont="1" applyFill="1" applyBorder="1" applyAlignment="1">
      <alignment horizontal="left" vertical="center"/>
    </xf>
    <xf numFmtId="0" fontId="18" fillId="0" borderId="31" xfId="0" applyFont="1" applyBorder="1" applyAlignment="1" applyProtection="1">
      <alignment vertical="top"/>
      <protection locked="0"/>
    </xf>
    <xf numFmtId="0" fontId="18" fillId="0" borderId="31" xfId="0" applyFont="1" applyBorder="1" applyAlignment="1" applyProtection="1">
      <alignment horizontal="center" vertical="top"/>
      <protection locked="0"/>
    </xf>
    <xf numFmtId="0" fontId="18" fillId="0" borderId="31" xfId="0" applyFont="1" applyBorder="1" applyAlignment="1" applyProtection="1">
      <alignment horizontal="left" vertical="top"/>
      <protection locked="0"/>
    </xf>
    <xf numFmtId="14" fontId="18" fillId="0" borderId="31" xfId="0" applyNumberFormat="1" applyFont="1" applyBorder="1" applyAlignment="1" applyProtection="1">
      <alignment horizontal="center" vertical="top"/>
      <protection locked="0"/>
    </xf>
    <xf numFmtId="178" fontId="18" fillId="0" borderId="31" xfId="0" applyNumberFormat="1" applyFont="1" applyBorder="1" applyAlignment="1" applyProtection="1">
      <alignment horizontal="center" vertical="top"/>
      <protection locked="0"/>
    </xf>
    <xf numFmtId="177" fontId="18" fillId="0" borderId="31" xfId="0" applyNumberFormat="1" applyFont="1" applyBorder="1" applyAlignment="1" applyProtection="1">
      <alignment horizontal="center" vertical="top"/>
      <protection locked="0"/>
    </xf>
    <xf numFmtId="1" fontId="18" fillId="0" borderId="31" xfId="0" applyNumberFormat="1" applyFont="1" applyBorder="1" applyAlignment="1" applyProtection="1">
      <alignment horizontal="center" vertical="top"/>
      <protection locked="0"/>
    </xf>
    <xf numFmtId="14" fontId="18" fillId="0" borderId="31" xfId="0" applyNumberFormat="1" applyFont="1" applyBorder="1" applyAlignment="1" applyProtection="1">
      <alignment horizontal="left" vertical="top"/>
      <protection locked="0"/>
    </xf>
    <xf numFmtId="10" fontId="18" fillId="0" borderId="31" xfId="0" applyNumberFormat="1" applyFont="1" applyBorder="1" applyAlignment="1" applyProtection="1">
      <alignment horizontal="right" vertical="top" wrapText="1"/>
      <protection locked="0"/>
    </xf>
    <xf numFmtId="10" fontId="18" fillId="0" borderId="31" xfId="0" applyNumberFormat="1" applyFont="1" applyBorder="1" applyAlignment="1" applyProtection="1">
      <alignment horizontal="right" vertical="top"/>
      <protection locked="0"/>
    </xf>
    <xf numFmtId="0" fontId="41" fillId="16" borderId="0" xfId="0" applyFont="1" applyFill="1" applyAlignment="1">
      <alignment horizontal="left" vertical="center"/>
    </xf>
    <xf numFmtId="0" fontId="7" fillId="0" borderId="18" xfId="0" applyFont="1" applyFill="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7" fillId="0" borderId="18" xfId="0" applyFont="1" applyFill="1" applyBorder="1" applyAlignment="1" applyProtection="1">
      <alignment horizontal="left" vertical="center" wrapText="1"/>
      <protection locked="0"/>
    </xf>
    <xf numFmtId="0" fontId="42" fillId="18" borderId="26" xfId="0" applyFont="1" applyFill="1" applyBorder="1" applyAlignment="1">
      <alignment horizontal="left" vertical="center" wrapText="1"/>
    </xf>
    <xf numFmtId="0" fontId="42" fillId="18" borderId="26"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5" xfId="0" applyFont="1" applyFill="1" applyBorder="1" applyAlignment="1">
      <alignment horizontal="left"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applyBorder="1"/>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212</xdr:row>
      <xdr:rowOff>0</xdr:rowOff>
    </xdr:to>
    <xdr:cxnSp macro="">
      <xdr:nvCxnSpPr>
        <xdr:cNvPr id="78811" name="직선 화살표 연결선 78810"/>
        <xdr:cNvCxnSpPr/>
      </xdr:nvCxnSpPr>
      <xdr:spPr>
        <a:xfrm>
          <a:off x="22402800" y="819023"/>
          <a:ext cx="0" cy="31699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211</xdr:row>
      <xdr:rowOff>19050</xdr:rowOff>
    </xdr:from>
    <xdr:to>
      <xdr:col>42</xdr:col>
      <xdr:colOff>42091</xdr:colOff>
      <xdr:row>211</xdr:row>
      <xdr:rowOff>133350</xdr:rowOff>
    </xdr:to>
    <xdr:sp macro="" textlink="">
      <xdr:nvSpPr>
        <xdr:cNvPr id="78812" name="208"/>
        <xdr:cNvSpPr/>
      </xdr:nvSpPr>
      <xdr:spPr>
        <a:xfrm>
          <a:off x="10986407" y="32385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211</xdr:row>
      <xdr:rowOff>76200</xdr:rowOff>
    </xdr:from>
    <xdr:to>
      <xdr:col>42</xdr:col>
      <xdr:colOff>40822</xdr:colOff>
      <xdr:row>211</xdr:row>
      <xdr:rowOff>76200</xdr:rowOff>
    </xdr:to>
    <xdr:cxnSp macro="">
      <xdr:nvCxnSpPr>
        <xdr:cNvPr id="78813" name="직선 화살표 연결선 78812"/>
        <xdr:cNvCxnSpPr/>
      </xdr:nvCxnSpPr>
      <xdr:spPr>
        <a:xfrm>
          <a:off x="10986407" y="32442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210</xdr:row>
      <xdr:rowOff>19050</xdr:rowOff>
    </xdr:from>
    <xdr:to>
      <xdr:col>42</xdr:col>
      <xdr:colOff>42091</xdr:colOff>
      <xdr:row>210</xdr:row>
      <xdr:rowOff>133350</xdr:rowOff>
    </xdr:to>
    <xdr:sp macro="" textlink="">
      <xdr:nvSpPr>
        <xdr:cNvPr id="78814" name="207"/>
        <xdr:cNvSpPr/>
      </xdr:nvSpPr>
      <xdr:spPr>
        <a:xfrm>
          <a:off x="10986407" y="32232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210</xdr:row>
      <xdr:rowOff>76200</xdr:rowOff>
    </xdr:from>
    <xdr:to>
      <xdr:col>42</xdr:col>
      <xdr:colOff>40822</xdr:colOff>
      <xdr:row>210</xdr:row>
      <xdr:rowOff>76200</xdr:rowOff>
    </xdr:to>
    <xdr:cxnSp macro="">
      <xdr:nvCxnSpPr>
        <xdr:cNvPr id="78815" name="직선 화살표 연결선 78814"/>
        <xdr:cNvCxnSpPr/>
      </xdr:nvCxnSpPr>
      <xdr:spPr>
        <a:xfrm>
          <a:off x="10986407" y="32289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209</xdr:row>
      <xdr:rowOff>19050</xdr:rowOff>
    </xdr:from>
    <xdr:to>
      <xdr:col>42</xdr:col>
      <xdr:colOff>42091</xdr:colOff>
      <xdr:row>209</xdr:row>
      <xdr:rowOff>133350</xdr:rowOff>
    </xdr:to>
    <xdr:sp macro="" textlink="">
      <xdr:nvSpPr>
        <xdr:cNvPr id="78816" name="206"/>
        <xdr:cNvSpPr/>
      </xdr:nvSpPr>
      <xdr:spPr>
        <a:xfrm>
          <a:off x="10986407" y="32080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209</xdr:row>
      <xdr:rowOff>76200</xdr:rowOff>
    </xdr:from>
    <xdr:to>
      <xdr:col>42</xdr:col>
      <xdr:colOff>40822</xdr:colOff>
      <xdr:row>209</xdr:row>
      <xdr:rowOff>76200</xdr:rowOff>
    </xdr:to>
    <xdr:cxnSp macro="">
      <xdr:nvCxnSpPr>
        <xdr:cNvPr id="78817" name="직선 화살표 연결선 78816"/>
        <xdr:cNvCxnSpPr/>
      </xdr:nvCxnSpPr>
      <xdr:spPr>
        <a:xfrm>
          <a:off x="10986407" y="32137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208</xdr:row>
      <xdr:rowOff>19050</xdr:rowOff>
    </xdr:from>
    <xdr:to>
      <xdr:col>42</xdr:col>
      <xdr:colOff>42091</xdr:colOff>
      <xdr:row>208</xdr:row>
      <xdr:rowOff>133350</xdr:rowOff>
    </xdr:to>
    <xdr:sp macro="" textlink="">
      <xdr:nvSpPr>
        <xdr:cNvPr id="78818" name="205"/>
        <xdr:cNvSpPr/>
      </xdr:nvSpPr>
      <xdr:spPr>
        <a:xfrm>
          <a:off x="10986407" y="319278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208</xdr:row>
      <xdr:rowOff>76200</xdr:rowOff>
    </xdr:from>
    <xdr:to>
      <xdr:col>42</xdr:col>
      <xdr:colOff>40822</xdr:colOff>
      <xdr:row>208</xdr:row>
      <xdr:rowOff>76200</xdr:rowOff>
    </xdr:to>
    <xdr:cxnSp macro="">
      <xdr:nvCxnSpPr>
        <xdr:cNvPr id="78819" name="직선 화살표 연결선 78818"/>
        <xdr:cNvCxnSpPr/>
      </xdr:nvCxnSpPr>
      <xdr:spPr>
        <a:xfrm>
          <a:off x="10986407" y="31984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207</xdr:row>
      <xdr:rowOff>19050</xdr:rowOff>
    </xdr:from>
    <xdr:to>
      <xdr:col>42</xdr:col>
      <xdr:colOff>42091</xdr:colOff>
      <xdr:row>207</xdr:row>
      <xdr:rowOff>133350</xdr:rowOff>
    </xdr:to>
    <xdr:sp macro="" textlink="">
      <xdr:nvSpPr>
        <xdr:cNvPr id="78820" name="204"/>
        <xdr:cNvSpPr/>
      </xdr:nvSpPr>
      <xdr:spPr>
        <a:xfrm>
          <a:off x="10986407" y="31775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207</xdr:row>
      <xdr:rowOff>76200</xdr:rowOff>
    </xdr:from>
    <xdr:to>
      <xdr:col>42</xdr:col>
      <xdr:colOff>40822</xdr:colOff>
      <xdr:row>207</xdr:row>
      <xdr:rowOff>76200</xdr:rowOff>
    </xdr:to>
    <xdr:cxnSp macro="">
      <xdr:nvCxnSpPr>
        <xdr:cNvPr id="78821" name="직선 화살표 연결선 78820"/>
        <xdr:cNvCxnSpPr/>
      </xdr:nvCxnSpPr>
      <xdr:spPr>
        <a:xfrm>
          <a:off x="10986407" y="31832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206</xdr:row>
      <xdr:rowOff>19050</xdr:rowOff>
    </xdr:from>
    <xdr:to>
      <xdr:col>42</xdr:col>
      <xdr:colOff>42091</xdr:colOff>
      <xdr:row>206</xdr:row>
      <xdr:rowOff>133350</xdr:rowOff>
    </xdr:to>
    <xdr:sp macro="" textlink="">
      <xdr:nvSpPr>
        <xdr:cNvPr id="78822" name="203"/>
        <xdr:cNvSpPr/>
      </xdr:nvSpPr>
      <xdr:spPr>
        <a:xfrm>
          <a:off x="10986407" y="31623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206</xdr:row>
      <xdr:rowOff>76200</xdr:rowOff>
    </xdr:from>
    <xdr:to>
      <xdr:col>42</xdr:col>
      <xdr:colOff>40822</xdr:colOff>
      <xdr:row>206</xdr:row>
      <xdr:rowOff>76200</xdr:rowOff>
    </xdr:to>
    <xdr:cxnSp macro="">
      <xdr:nvCxnSpPr>
        <xdr:cNvPr id="78823" name="직선 화살표 연결선 78822"/>
        <xdr:cNvCxnSpPr/>
      </xdr:nvCxnSpPr>
      <xdr:spPr>
        <a:xfrm>
          <a:off x="10986407" y="31680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205</xdr:row>
      <xdr:rowOff>19050</xdr:rowOff>
    </xdr:from>
    <xdr:to>
      <xdr:col>42</xdr:col>
      <xdr:colOff>42091</xdr:colOff>
      <xdr:row>205</xdr:row>
      <xdr:rowOff>133350</xdr:rowOff>
    </xdr:to>
    <xdr:sp macro="" textlink="">
      <xdr:nvSpPr>
        <xdr:cNvPr id="78824" name="202"/>
        <xdr:cNvSpPr/>
      </xdr:nvSpPr>
      <xdr:spPr>
        <a:xfrm>
          <a:off x="10986407" y="31470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205</xdr:row>
      <xdr:rowOff>76200</xdr:rowOff>
    </xdr:from>
    <xdr:to>
      <xdr:col>42</xdr:col>
      <xdr:colOff>40822</xdr:colOff>
      <xdr:row>205</xdr:row>
      <xdr:rowOff>76200</xdr:rowOff>
    </xdr:to>
    <xdr:cxnSp macro="">
      <xdr:nvCxnSpPr>
        <xdr:cNvPr id="78825" name="직선 화살표 연결선 78824"/>
        <xdr:cNvCxnSpPr/>
      </xdr:nvCxnSpPr>
      <xdr:spPr>
        <a:xfrm>
          <a:off x="10986407" y="31527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204</xdr:row>
      <xdr:rowOff>19050</xdr:rowOff>
    </xdr:from>
    <xdr:to>
      <xdr:col>42</xdr:col>
      <xdr:colOff>42091</xdr:colOff>
      <xdr:row>204</xdr:row>
      <xdr:rowOff>133350</xdr:rowOff>
    </xdr:to>
    <xdr:sp macro="" textlink="">
      <xdr:nvSpPr>
        <xdr:cNvPr id="78826" name="201"/>
        <xdr:cNvSpPr/>
      </xdr:nvSpPr>
      <xdr:spPr>
        <a:xfrm>
          <a:off x="10986407" y="31318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204</xdr:row>
      <xdr:rowOff>76200</xdr:rowOff>
    </xdr:from>
    <xdr:to>
      <xdr:col>42</xdr:col>
      <xdr:colOff>40822</xdr:colOff>
      <xdr:row>204</xdr:row>
      <xdr:rowOff>76200</xdr:rowOff>
    </xdr:to>
    <xdr:cxnSp macro="">
      <xdr:nvCxnSpPr>
        <xdr:cNvPr id="78827" name="직선 화살표 연결선 78826"/>
        <xdr:cNvCxnSpPr/>
      </xdr:nvCxnSpPr>
      <xdr:spPr>
        <a:xfrm>
          <a:off x="10986407" y="31375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203</xdr:row>
      <xdr:rowOff>19050</xdr:rowOff>
    </xdr:from>
    <xdr:to>
      <xdr:col>42</xdr:col>
      <xdr:colOff>42091</xdr:colOff>
      <xdr:row>203</xdr:row>
      <xdr:rowOff>133350</xdr:rowOff>
    </xdr:to>
    <xdr:sp macro="" textlink="">
      <xdr:nvSpPr>
        <xdr:cNvPr id="78828" name="200"/>
        <xdr:cNvSpPr/>
      </xdr:nvSpPr>
      <xdr:spPr>
        <a:xfrm>
          <a:off x="10986407" y="31165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203</xdr:row>
      <xdr:rowOff>76200</xdr:rowOff>
    </xdr:from>
    <xdr:to>
      <xdr:col>42</xdr:col>
      <xdr:colOff>40822</xdr:colOff>
      <xdr:row>203</xdr:row>
      <xdr:rowOff>76200</xdr:rowOff>
    </xdr:to>
    <xdr:cxnSp macro="">
      <xdr:nvCxnSpPr>
        <xdr:cNvPr id="78829" name="직선 화살표 연결선 78828"/>
        <xdr:cNvCxnSpPr/>
      </xdr:nvCxnSpPr>
      <xdr:spPr>
        <a:xfrm>
          <a:off x="10986407" y="31222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202</xdr:row>
      <xdr:rowOff>19050</xdr:rowOff>
    </xdr:from>
    <xdr:to>
      <xdr:col>42</xdr:col>
      <xdr:colOff>42091</xdr:colOff>
      <xdr:row>202</xdr:row>
      <xdr:rowOff>133350</xdr:rowOff>
    </xdr:to>
    <xdr:sp macro="" textlink="">
      <xdr:nvSpPr>
        <xdr:cNvPr id="78830" name="199"/>
        <xdr:cNvSpPr/>
      </xdr:nvSpPr>
      <xdr:spPr>
        <a:xfrm>
          <a:off x="10986407" y="310134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202</xdr:row>
      <xdr:rowOff>76200</xdr:rowOff>
    </xdr:from>
    <xdr:to>
      <xdr:col>42</xdr:col>
      <xdr:colOff>40822</xdr:colOff>
      <xdr:row>202</xdr:row>
      <xdr:rowOff>76200</xdr:rowOff>
    </xdr:to>
    <xdr:cxnSp macro="">
      <xdr:nvCxnSpPr>
        <xdr:cNvPr id="78831" name="직선 화살표 연결선 78830"/>
        <xdr:cNvCxnSpPr/>
      </xdr:nvCxnSpPr>
      <xdr:spPr>
        <a:xfrm>
          <a:off x="10986407" y="31070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201</xdr:row>
      <xdr:rowOff>19050</xdr:rowOff>
    </xdr:from>
    <xdr:to>
      <xdr:col>42</xdr:col>
      <xdr:colOff>42091</xdr:colOff>
      <xdr:row>201</xdr:row>
      <xdr:rowOff>133350</xdr:rowOff>
    </xdr:to>
    <xdr:sp macro="" textlink="">
      <xdr:nvSpPr>
        <xdr:cNvPr id="78832" name="198"/>
        <xdr:cNvSpPr/>
      </xdr:nvSpPr>
      <xdr:spPr>
        <a:xfrm>
          <a:off x="10986407" y="30861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201</xdr:row>
      <xdr:rowOff>76200</xdr:rowOff>
    </xdr:from>
    <xdr:to>
      <xdr:col>42</xdr:col>
      <xdr:colOff>40822</xdr:colOff>
      <xdr:row>201</xdr:row>
      <xdr:rowOff>76200</xdr:rowOff>
    </xdr:to>
    <xdr:cxnSp macro="">
      <xdr:nvCxnSpPr>
        <xdr:cNvPr id="78833" name="직선 화살표 연결선 78832"/>
        <xdr:cNvCxnSpPr/>
      </xdr:nvCxnSpPr>
      <xdr:spPr>
        <a:xfrm>
          <a:off x="10986407" y="30918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200</xdr:row>
      <xdr:rowOff>19050</xdr:rowOff>
    </xdr:from>
    <xdr:to>
      <xdr:col>42</xdr:col>
      <xdr:colOff>42091</xdr:colOff>
      <xdr:row>200</xdr:row>
      <xdr:rowOff>133350</xdr:rowOff>
    </xdr:to>
    <xdr:sp macro="" textlink="">
      <xdr:nvSpPr>
        <xdr:cNvPr id="78834" name="197"/>
        <xdr:cNvSpPr/>
      </xdr:nvSpPr>
      <xdr:spPr>
        <a:xfrm>
          <a:off x="10986407" y="30708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200</xdr:row>
      <xdr:rowOff>76200</xdr:rowOff>
    </xdr:from>
    <xdr:to>
      <xdr:col>42</xdr:col>
      <xdr:colOff>40822</xdr:colOff>
      <xdr:row>200</xdr:row>
      <xdr:rowOff>76200</xdr:rowOff>
    </xdr:to>
    <xdr:cxnSp macro="">
      <xdr:nvCxnSpPr>
        <xdr:cNvPr id="78835" name="직선 화살표 연결선 78834"/>
        <xdr:cNvCxnSpPr/>
      </xdr:nvCxnSpPr>
      <xdr:spPr>
        <a:xfrm>
          <a:off x="10986407" y="30765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199</xdr:row>
      <xdr:rowOff>19050</xdr:rowOff>
    </xdr:from>
    <xdr:to>
      <xdr:col>42</xdr:col>
      <xdr:colOff>42091</xdr:colOff>
      <xdr:row>199</xdr:row>
      <xdr:rowOff>133350</xdr:rowOff>
    </xdr:to>
    <xdr:sp macro="" textlink="">
      <xdr:nvSpPr>
        <xdr:cNvPr id="78836" name="196"/>
        <xdr:cNvSpPr/>
      </xdr:nvSpPr>
      <xdr:spPr>
        <a:xfrm>
          <a:off x="10986407" y="305562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199</xdr:row>
      <xdr:rowOff>76200</xdr:rowOff>
    </xdr:from>
    <xdr:to>
      <xdr:col>42</xdr:col>
      <xdr:colOff>40822</xdr:colOff>
      <xdr:row>199</xdr:row>
      <xdr:rowOff>76200</xdr:rowOff>
    </xdr:to>
    <xdr:cxnSp macro="">
      <xdr:nvCxnSpPr>
        <xdr:cNvPr id="78837" name="직선 화살표 연결선 78836"/>
        <xdr:cNvCxnSpPr/>
      </xdr:nvCxnSpPr>
      <xdr:spPr>
        <a:xfrm>
          <a:off x="10986407" y="30613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198</xdr:row>
      <xdr:rowOff>19050</xdr:rowOff>
    </xdr:from>
    <xdr:to>
      <xdr:col>42</xdr:col>
      <xdr:colOff>42091</xdr:colOff>
      <xdr:row>198</xdr:row>
      <xdr:rowOff>133350</xdr:rowOff>
    </xdr:to>
    <xdr:sp macro="" textlink="">
      <xdr:nvSpPr>
        <xdr:cNvPr id="78838" name="195"/>
        <xdr:cNvSpPr/>
      </xdr:nvSpPr>
      <xdr:spPr>
        <a:xfrm>
          <a:off x="10986407" y="30403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198</xdr:row>
      <xdr:rowOff>76200</xdr:rowOff>
    </xdr:from>
    <xdr:to>
      <xdr:col>42</xdr:col>
      <xdr:colOff>40822</xdr:colOff>
      <xdr:row>198</xdr:row>
      <xdr:rowOff>76200</xdr:rowOff>
    </xdr:to>
    <xdr:cxnSp macro="">
      <xdr:nvCxnSpPr>
        <xdr:cNvPr id="78839" name="직선 화살표 연결선 78838"/>
        <xdr:cNvCxnSpPr/>
      </xdr:nvCxnSpPr>
      <xdr:spPr>
        <a:xfrm>
          <a:off x="10986407" y="30460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197</xdr:row>
      <xdr:rowOff>19050</xdr:rowOff>
    </xdr:from>
    <xdr:to>
      <xdr:col>42</xdr:col>
      <xdr:colOff>42091</xdr:colOff>
      <xdr:row>197</xdr:row>
      <xdr:rowOff>133350</xdr:rowOff>
    </xdr:to>
    <xdr:sp macro="" textlink="">
      <xdr:nvSpPr>
        <xdr:cNvPr id="78840" name="194"/>
        <xdr:cNvSpPr/>
      </xdr:nvSpPr>
      <xdr:spPr>
        <a:xfrm>
          <a:off x="10986407" y="30251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197</xdr:row>
      <xdr:rowOff>76200</xdr:rowOff>
    </xdr:from>
    <xdr:to>
      <xdr:col>42</xdr:col>
      <xdr:colOff>40822</xdr:colOff>
      <xdr:row>197</xdr:row>
      <xdr:rowOff>76200</xdr:rowOff>
    </xdr:to>
    <xdr:cxnSp macro="">
      <xdr:nvCxnSpPr>
        <xdr:cNvPr id="78841" name="직선 화살표 연결선 78840"/>
        <xdr:cNvCxnSpPr/>
      </xdr:nvCxnSpPr>
      <xdr:spPr>
        <a:xfrm>
          <a:off x="10986407" y="30308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196</xdr:row>
      <xdr:rowOff>19050</xdr:rowOff>
    </xdr:from>
    <xdr:to>
      <xdr:col>42</xdr:col>
      <xdr:colOff>42091</xdr:colOff>
      <xdr:row>196</xdr:row>
      <xdr:rowOff>133350</xdr:rowOff>
    </xdr:to>
    <xdr:sp macro="" textlink="">
      <xdr:nvSpPr>
        <xdr:cNvPr id="78842" name="193"/>
        <xdr:cNvSpPr/>
      </xdr:nvSpPr>
      <xdr:spPr>
        <a:xfrm>
          <a:off x="10986407" y="30099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196</xdr:row>
      <xdr:rowOff>76200</xdr:rowOff>
    </xdr:from>
    <xdr:to>
      <xdr:col>42</xdr:col>
      <xdr:colOff>40822</xdr:colOff>
      <xdr:row>196</xdr:row>
      <xdr:rowOff>76200</xdr:rowOff>
    </xdr:to>
    <xdr:cxnSp macro="">
      <xdr:nvCxnSpPr>
        <xdr:cNvPr id="78843" name="직선 화살표 연결선 78842"/>
        <xdr:cNvCxnSpPr/>
      </xdr:nvCxnSpPr>
      <xdr:spPr>
        <a:xfrm>
          <a:off x="10986407" y="30156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195</xdr:row>
      <xdr:rowOff>19050</xdr:rowOff>
    </xdr:from>
    <xdr:to>
      <xdr:col>42</xdr:col>
      <xdr:colOff>42091</xdr:colOff>
      <xdr:row>195</xdr:row>
      <xdr:rowOff>133350</xdr:rowOff>
    </xdr:to>
    <xdr:sp macro="" textlink="">
      <xdr:nvSpPr>
        <xdr:cNvPr id="78844" name="192"/>
        <xdr:cNvSpPr/>
      </xdr:nvSpPr>
      <xdr:spPr>
        <a:xfrm>
          <a:off x="10986407" y="29946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195</xdr:row>
      <xdr:rowOff>76200</xdr:rowOff>
    </xdr:from>
    <xdr:to>
      <xdr:col>42</xdr:col>
      <xdr:colOff>40822</xdr:colOff>
      <xdr:row>195</xdr:row>
      <xdr:rowOff>76200</xdr:rowOff>
    </xdr:to>
    <xdr:cxnSp macro="">
      <xdr:nvCxnSpPr>
        <xdr:cNvPr id="78845" name="직선 화살표 연결선 78844"/>
        <xdr:cNvCxnSpPr/>
      </xdr:nvCxnSpPr>
      <xdr:spPr>
        <a:xfrm>
          <a:off x="10986407" y="30003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194</xdr:row>
      <xdr:rowOff>19050</xdr:rowOff>
    </xdr:from>
    <xdr:to>
      <xdr:col>42</xdr:col>
      <xdr:colOff>42091</xdr:colOff>
      <xdr:row>194</xdr:row>
      <xdr:rowOff>133350</xdr:rowOff>
    </xdr:to>
    <xdr:sp macro="" textlink="">
      <xdr:nvSpPr>
        <xdr:cNvPr id="78846" name="191"/>
        <xdr:cNvSpPr/>
      </xdr:nvSpPr>
      <xdr:spPr>
        <a:xfrm>
          <a:off x="10986407" y="29794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194</xdr:row>
      <xdr:rowOff>76200</xdr:rowOff>
    </xdr:from>
    <xdr:to>
      <xdr:col>42</xdr:col>
      <xdr:colOff>40822</xdr:colOff>
      <xdr:row>194</xdr:row>
      <xdr:rowOff>76200</xdr:rowOff>
    </xdr:to>
    <xdr:cxnSp macro="">
      <xdr:nvCxnSpPr>
        <xdr:cNvPr id="78847" name="직선 화살표 연결선 78846"/>
        <xdr:cNvCxnSpPr/>
      </xdr:nvCxnSpPr>
      <xdr:spPr>
        <a:xfrm>
          <a:off x="10986407" y="29851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193</xdr:row>
      <xdr:rowOff>19050</xdr:rowOff>
    </xdr:from>
    <xdr:to>
      <xdr:col>42</xdr:col>
      <xdr:colOff>42091</xdr:colOff>
      <xdr:row>193</xdr:row>
      <xdr:rowOff>133350</xdr:rowOff>
    </xdr:to>
    <xdr:sp macro="" textlink="">
      <xdr:nvSpPr>
        <xdr:cNvPr id="78848" name="190"/>
        <xdr:cNvSpPr/>
      </xdr:nvSpPr>
      <xdr:spPr>
        <a:xfrm>
          <a:off x="10986407" y="29641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193</xdr:row>
      <xdr:rowOff>76200</xdr:rowOff>
    </xdr:from>
    <xdr:to>
      <xdr:col>42</xdr:col>
      <xdr:colOff>40822</xdr:colOff>
      <xdr:row>193</xdr:row>
      <xdr:rowOff>76200</xdr:rowOff>
    </xdr:to>
    <xdr:cxnSp macro="">
      <xdr:nvCxnSpPr>
        <xdr:cNvPr id="78849" name="직선 화살표 연결선 78848"/>
        <xdr:cNvCxnSpPr/>
      </xdr:nvCxnSpPr>
      <xdr:spPr>
        <a:xfrm>
          <a:off x="10986407" y="29698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192</xdr:row>
      <xdr:rowOff>19050</xdr:rowOff>
    </xdr:from>
    <xdr:to>
      <xdr:col>42</xdr:col>
      <xdr:colOff>42091</xdr:colOff>
      <xdr:row>192</xdr:row>
      <xdr:rowOff>133350</xdr:rowOff>
    </xdr:to>
    <xdr:sp macro="" textlink="">
      <xdr:nvSpPr>
        <xdr:cNvPr id="78850" name="189"/>
        <xdr:cNvSpPr/>
      </xdr:nvSpPr>
      <xdr:spPr>
        <a:xfrm>
          <a:off x="10986407" y="29489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192</xdr:row>
      <xdr:rowOff>76200</xdr:rowOff>
    </xdr:from>
    <xdr:to>
      <xdr:col>42</xdr:col>
      <xdr:colOff>40822</xdr:colOff>
      <xdr:row>192</xdr:row>
      <xdr:rowOff>76200</xdr:rowOff>
    </xdr:to>
    <xdr:cxnSp macro="">
      <xdr:nvCxnSpPr>
        <xdr:cNvPr id="78851" name="직선 화살표 연결선 78850"/>
        <xdr:cNvCxnSpPr/>
      </xdr:nvCxnSpPr>
      <xdr:spPr>
        <a:xfrm>
          <a:off x="10986407" y="29546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191</xdr:row>
      <xdr:rowOff>19050</xdr:rowOff>
    </xdr:from>
    <xdr:to>
      <xdr:col>42</xdr:col>
      <xdr:colOff>42091</xdr:colOff>
      <xdr:row>191</xdr:row>
      <xdr:rowOff>133350</xdr:rowOff>
    </xdr:to>
    <xdr:sp macro="" textlink="">
      <xdr:nvSpPr>
        <xdr:cNvPr id="78852" name="188"/>
        <xdr:cNvSpPr/>
      </xdr:nvSpPr>
      <xdr:spPr>
        <a:xfrm>
          <a:off x="10986407" y="29337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191</xdr:row>
      <xdr:rowOff>76200</xdr:rowOff>
    </xdr:from>
    <xdr:to>
      <xdr:col>42</xdr:col>
      <xdr:colOff>40822</xdr:colOff>
      <xdr:row>191</xdr:row>
      <xdr:rowOff>76200</xdr:rowOff>
    </xdr:to>
    <xdr:cxnSp macro="">
      <xdr:nvCxnSpPr>
        <xdr:cNvPr id="78853" name="직선 화살표 연결선 78852"/>
        <xdr:cNvCxnSpPr/>
      </xdr:nvCxnSpPr>
      <xdr:spPr>
        <a:xfrm>
          <a:off x="10986407" y="29394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190</xdr:row>
      <xdr:rowOff>19050</xdr:rowOff>
    </xdr:from>
    <xdr:to>
      <xdr:col>42</xdr:col>
      <xdr:colOff>42091</xdr:colOff>
      <xdr:row>190</xdr:row>
      <xdr:rowOff>133350</xdr:rowOff>
    </xdr:to>
    <xdr:sp macro="" textlink="">
      <xdr:nvSpPr>
        <xdr:cNvPr id="78854" name="187"/>
        <xdr:cNvSpPr/>
      </xdr:nvSpPr>
      <xdr:spPr>
        <a:xfrm>
          <a:off x="10986407" y="29184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190</xdr:row>
      <xdr:rowOff>76200</xdr:rowOff>
    </xdr:from>
    <xdr:to>
      <xdr:col>42</xdr:col>
      <xdr:colOff>40822</xdr:colOff>
      <xdr:row>190</xdr:row>
      <xdr:rowOff>76200</xdr:rowOff>
    </xdr:to>
    <xdr:cxnSp macro="">
      <xdr:nvCxnSpPr>
        <xdr:cNvPr id="78855" name="직선 화살표 연결선 78854"/>
        <xdr:cNvCxnSpPr/>
      </xdr:nvCxnSpPr>
      <xdr:spPr>
        <a:xfrm>
          <a:off x="10986407" y="29241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189</xdr:row>
      <xdr:rowOff>19050</xdr:rowOff>
    </xdr:from>
    <xdr:to>
      <xdr:col>42</xdr:col>
      <xdr:colOff>42091</xdr:colOff>
      <xdr:row>189</xdr:row>
      <xdr:rowOff>133350</xdr:rowOff>
    </xdr:to>
    <xdr:sp macro="" textlink="">
      <xdr:nvSpPr>
        <xdr:cNvPr id="78856" name="186"/>
        <xdr:cNvSpPr/>
      </xdr:nvSpPr>
      <xdr:spPr>
        <a:xfrm>
          <a:off x="10986407" y="29032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189</xdr:row>
      <xdr:rowOff>76200</xdr:rowOff>
    </xdr:from>
    <xdr:to>
      <xdr:col>42</xdr:col>
      <xdr:colOff>40822</xdr:colOff>
      <xdr:row>189</xdr:row>
      <xdr:rowOff>76200</xdr:rowOff>
    </xdr:to>
    <xdr:cxnSp macro="">
      <xdr:nvCxnSpPr>
        <xdr:cNvPr id="78857" name="직선 화살표 연결선 78856"/>
        <xdr:cNvCxnSpPr/>
      </xdr:nvCxnSpPr>
      <xdr:spPr>
        <a:xfrm>
          <a:off x="10986407" y="29089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188</xdr:row>
      <xdr:rowOff>19050</xdr:rowOff>
    </xdr:from>
    <xdr:to>
      <xdr:col>42</xdr:col>
      <xdr:colOff>42091</xdr:colOff>
      <xdr:row>188</xdr:row>
      <xdr:rowOff>133350</xdr:rowOff>
    </xdr:to>
    <xdr:sp macro="" textlink="">
      <xdr:nvSpPr>
        <xdr:cNvPr id="78858" name="185"/>
        <xdr:cNvSpPr/>
      </xdr:nvSpPr>
      <xdr:spPr>
        <a:xfrm>
          <a:off x="10986407" y="28879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188</xdr:row>
      <xdr:rowOff>76200</xdr:rowOff>
    </xdr:from>
    <xdr:to>
      <xdr:col>42</xdr:col>
      <xdr:colOff>40822</xdr:colOff>
      <xdr:row>188</xdr:row>
      <xdr:rowOff>76200</xdr:rowOff>
    </xdr:to>
    <xdr:cxnSp macro="">
      <xdr:nvCxnSpPr>
        <xdr:cNvPr id="78859" name="직선 화살표 연결선 78858"/>
        <xdr:cNvCxnSpPr/>
      </xdr:nvCxnSpPr>
      <xdr:spPr>
        <a:xfrm>
          <a:off x="10986407" y="28936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187</xdr:row>
      <xdr:rowOff>19050</xdr:rowOff>
    </xdr:from>
    <xdr:to>
      <xdr:col>42</xdr:col>
      <xdr:colOff>42091</xdr:colOff>
      <xdr:row>187</xdr:row>
      <xdr:rowOff>133350</xdr:rowOff>
    </xdr:to>
    <xdr:sp macro="" textlink="">
      <xdr:nvSpPr>
        <xdr:cNvPr id="78860" name="184"/>
        <xdr:cNvSpPr/>
      </xdr:nvSpPr>
      <xdr:spPr>
        <a:xfrm>
          <a:off x="10986407" y="287274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187</xdr:row>
      <xdr:rowOff>76200</xdr:rowOff>
    </xdr:from>
    <xdr:to>
      <xdr:col>42</xdr:col>
      <xdr:colOff>40822</xdr:colOff>
      <xdr:row>187</xdr:row>
      <xdr:rowOff>76200</xdr:rowOff>
    </xdr:to>
    <xdr:cxnSp macro="">
      <xdr:nvCxnSpPr>
        <xdr:cNvPr id="78861" name="직선 화살표 연결선 78860"/>
        <xdr:cNvCxnSpPr/>
      </xdr:nvCxnSpPr>
      <xdr:spPr>
        <a:xfrm>
          <a:off x="10986407" y="28784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186</xdr:row>
      <xdr:rowOff>19050</xdr:rowOff>
    </xdr:from>
    <xdr:to>
      <xdr:col>42</xdr:col>
      <xdr:colOff>42091</xdr:colOff>
      <xdr:row>186</xdr:row>
      <xdr:rowOff>133350</xdr:rowOff>
    </xdr:to>
    <xdr:sp macro="" textlink="">
      <xdr:nvSpPr>
        <xdr:cNvPr id="78862" name="183"/>
        <xdr:cNvSpPr/>
      </xdr:nvSpPr>
      <xdr:spPr>
        <a:xfrm>
          <a:off x="10986407" y="28575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186</xdr:row>
      <xdr:rowOff>76200</xdr:rowOff>
    </xdr:from>
    <xdr:to>
      <xdr:col>42</xdr:col>
      <xdr:colOff>40822</xdr:colOff>
      <xdr:row>186</xdr:row>
      <xdr:rowOff>76200</xdr:rowOff>
    </xdr:to>
    <xdr:cxnSp macro="">
      <xdr:nvCxnSpPr>
        <xdr:cNvPr id="78863" name="직선 화살표 연결선 78862"/>
        <xdr:cNvCxnSpPr/>
      </xdr:nvCxnSpPr>
      <xdr:spPr>
        <a:xfrm>
          <a:off x="10986407" y="28632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185</xdr:row>
      <xdr:rowOff>19050</xdr:rowOff>
    </xdr:from>
    <xdr:to>
      <xdr:col>42</xdr:col>
      <xdr:colOff>42091</xdr:colOff>
      <xdr:row>185</xdr:row>
      <xdr:rowOff>133350</xdr:rowOff>
    </xdr:to>
    <xdr:sp macro="" textlink="">
      <xdr:nvSpPr>
        <xdr:cNvPr id="78864" name="182"/>
        <xdr:cNvSpPr/>
      </xdr:nvSpPr>
      <xdr:spPr>
        <a:xfrm>
          <a:off x="10986407" y="28422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185</xdr:row>
      <xdr:rowOff>76200</xdr:rowOff>
    </xdr:from>
    <xdr:to>
      <xdr:col>42</xdr:col>
      <xdr:colOff>40822</xdr:colOff>
      <xdr:row>185</xdr:row>
      <xdr:rowOff>76200</xdr:rowOff>
    </xdr:to>
    <xdr:cxnSp macro="">
      <xdr:nvCxnSpPr>
        <xdr:cNvPr id="78865" name="직선 화살표 연결선 78864"/>
        <xdr:cNvCxnSpPr/>
      </xdr:nvCxnSpPr>
      <xdr:spPr>
        <a:xfrm>
          <a:off x="10986407" y="28479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184</xdr:row>
      <xdr:rowOff>19050</xdr:rowOff>
    </xdr:from>
    <xdr:to>
      <xdr:col>42</xdr:col>
      <xdr:colOff>42091</xdr:colOff>
      <xdr:row>184</xdr:row>
      <xdr:rowOff>133350</xdr:rowOff>
    </xdr:to>
    <xdr:sp macro="" textlink="">
      <xdr:nvSpPr>
        <xdr:cNvPr id="78866" name="181"/>
        <xdr:cNvSpPr/>
      </xdr:nvSpPr>
      <xdr:spPr>
        <a:xfrm>
          <a:off x="10986407" y="28270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184</xdr:row>
      <xdr:rowOff>76200</xdr:rowOff>
    </xdr:from>
    <xdr:to>
      <xdr:col>42</xdr:col>
      <xdr:colOff>40822</xdr:colOff>
      <xdr:row>184</xdr:row>
      <xdr:rowOff>76200</xdr:rowOff>
    </xdr:to>
    <xdr:cxnSp macro="">
      <xdr:nvCxnSpPr>
        <xdr:cNvPr id="78867" name="직선 화살표 연결선 78866"/>
        <xdr:cNvCxnSpPr/>
      </xdr:nvCxnSpPr>
      <xdr:spPr>
        <a:xfrm>
          <a:off x="10986407" y="28327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183</xdr:row>
      <xdr:rowOff>19050</xdr:rowOff>
    </xdr:from>
    <xdr:to>
      <xdr:col>42</xdr:col>
      <xdr:colOff>42091</xdr:colOff>
      <xdr:row>183</xdr:row>
      <xdr:rowOff>133350</xdr:rowOff>
    </xdr:to>
    <xdr:sp macro="" textlink="">
      <xdr:nvSpPr>
        <xdr:cNvPr id="78868" name="180"/>
        <xdr:cNvSpPr/>
      </xdr:nvSpPr>
      <xdr:spPr>
        <a:xfrm>
          <a:off x="10986407" y="28117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183</xdr:row>
      <xdr:rowOff>76200</xdr:rowOff>
    </xdr:from>
    <xdr:to>
      <xdr:col>42</xdr:col>
      <xdr:colOff>40822</xdr:colOff>
      <xdr:row>183</xdr:row>
      <xdr:rowOff>76200</xdr:rowOff>
    </xdr:to>
    <xdr:cxnSp macro="">
      <xdr:nvCxnSpPr>
        <xdr:cNvPr id="78869" name="직선 화살표 연결선 78868"/>
        <xdr:cNvCxnSpPr/>
      </xdr:nvCxnSpPr>
      <xdr:spPr>
        <a:xfrm>
          <a:off x="10986407" y="28174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182</xdr:row>
      <xdr:rowOff>19050</xdr:rowOff>
    </xdr:from>
    <xdr:to>
      <xdr:col>42</xdr:col>
      <xdr:colOff>42091</xdr:colOff>
      <xdr:row>182</xdr:row>
      <xdr:rowOff>133350</xdr:rowOff>
    </xdr:to>
    <xdr:sp macro="" textlink="">
      <xdr:nvSpPr>
        <xdr:cNvPr id="78870" name="179"/>
        <xdr:cNvSpPr/>
      </xdr:nvSpPr>
      <xdr:spPr>
        <a:xfrm>
          <a:off x="10986407" y="279654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182</xdr:row>
      <xdr:rowOff>76200</xdr:rowOff>
    </xdr:from>
    <xdr:to>
      <xdr:col>42</xdr:col>
      <xdr:colOff>40822</xdr:colOff>
      <xdr:row>182</xdr:row>
      <xdr:rowOff>76200</xdr:rowOff>
    </xdr:to>
    <xdr:cxnSp macro="">
      <xdr:nvCxnSpPr>
        <xdr:cNvPr id="78871" name="직선 화살표 연결선 78870"/>
        <xdr:cNvCxnSpPr/>
      </xdr:nvCxnSpPr>
      <xdr:spPr>
        <a:xfrm>
          <a:off x="10986407" y="28022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181</xdr:row>
      <xdr:rowOff>19050</xdr:rowOff>
    </xdr:from>
    <xdr:to>
      <xdr:col>42</xdr:col>
      <xdr:colOff>42091</xdr:colOff>
      <xdr:row>181</xdr:row>
      <xdr:rowOff>133350</xdr:rowOff>
    </xdr:to>
    <xdr:sp macro="" textlink="">
      <xdr:nvSpPr>
        <xdr:cNvPr id="78872" name="178"/>
        <xdr:cNvSpPr/>
      </xdr:nvSpPr>
      <xdr:spPr>
        <a:xfrm>
          <a:off x="10986407" y="27813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181</xdr:row>
      <xdr:rowOff>76200</xdr:rowOff>
    </xdr:from>
    <xdr:to>
      <xdr:col>42</xdr:col>
      <xdr:colOff>40822</xdr:colOff>
      <xdr:row>181</xdr:row>
      <xdr:rowOff>76200</xdr:rowOff>
    </xdr:to>
    <xdr:cxnSp macro="">
      <xdr:nvCxnSpPr>
        <xdr:cNvPr id="78873" name="직선 화살표 연결선 78872"/>
        <xdr:cNvCxnSpPr/>
      </xdr:nvCxnSpPr>
      <xdr:spPr>
        <a:xfrm>
          <a:off x="10986407" y="27870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180</xdr:row>
      <xdr:rowOff>19050</xdr:rowOff>
    </xdr:from>
    <xdr:to>
      <xdr:col>42</xdr:col>
      <xdr:colOff>42091</xdr:colOff>
      <xdr:row>180</xdr:row>
      <xdr:rowOff>133350</xdr:rowOff>
    </xdr:to>
    <xdr:sp macro="" textlink="">
      <xdr:nvSpPr>
        <xdr:cNvPr id="78874" name="177"/>
        <xdr:cNvSpPr/>
      </xdr:nvSpPr>
      <xdr:spPr>
        <a:xfrm>
          <a:off x="10986407" y="27660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180</xdr:row>
      <xdr:rowOff>76200</xdr:rowOff>
    </xdr:from>
    <xdr:to>
      <xdr:col>42</xdr:col>
      <xdr:colOff>40822</xdr:colOff>
      <xdr:row>180</xdr:row>
      <xdr:rowOff>76200</xdr:rowOff>
    </xdr:to>
    <xdr:cxnSp macro="">
      <xdr:nvCxnSpPr>
        <xdr:cNvPr id="78875" name="직선 화살표 연결선 78874"/>
        <xdr:cNvCxnSpPr/>
      </xdr:nvCxnSpPr>
      <xdr:spPr>
        <a:xfrm>
          <a:off x="10986407" y="27717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179</xdr:row>
      <xdr:rowOff>19050</xdr:rowOff>
    </xdr:from>
    <xdr:to>
      <xdr:col>42</xdr:col>
      <xdr:colOff>42091</xdr:colOff>
      <xdr:row>179</xdr:row>
      <xdr:rowOff>133350</xdr:rowOff>
    </xdr:to>
    <xdr:sp macro="" textlink="">
      <xdr:nvSpPr>
        <xdr:cNvPr id="78876" name="176"/>
        <xdr:cNvSpPr/>
      </xdr:nvSpPr>
      <xdr:spPr>
        <a:xfrm>
          <a:off x="10986407" y="27508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179</xdr:row>
      <xdr:rowOff>76200</xdr:rowOff>
    </xdr:from>
    <xdr:to>
      <xdr:col>42</xdr:col>
      <xdr:colOff>40822</xdr:colOff>
      <xdr:row>179</xdr:row>
      <xdr:rowOff>76200</xdr:rowOff>
    </xdr:to>
    <xdr:cxnSp macro="">
      <xdr:nvCxnSpPr>
        <xdr:cNvPr id="78877" name="직선 화살표 연결선 78876"/>
        <xdr:cNvCxnSpPr/>
      </xdr:nvCxnSpPr>
      <xdr:spPr>
        <a:xfrm>
          <a:off x="10986407" y="27565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178</xdr:row>
      <xdr:rowOff>19050</xdr:rowOff>
    </xdr:from>
    <xdr:to>
      <xdr:col>42</xdr:col>
      <xdr:colOff>42091</xdr:colOff>
      <xdr:row>178</xdr:row>
      <xdr:rowOff>133350</xdr:rowOff>
    </xdr:to>
    <xdr:sp macro="" textlink="">
      <xdr:nvSpPr>
        <xdr:cNvPr id="78878" name="175"/>
        <xdr:cNvSpPr/>
      </xdr:nvSpPr>
      <xdr:spPr>
        <a:xfrm>
          <a:off x="10986407" y="273558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178</xdr:row>
      <xdr:rowOff>76200</xdr:rowOff>
    </xdr:from>
    <xdr:to>
      <xdr:col>42</xdr:col>
      <xdr:colOff>40822</xdr:colOff>
      <xdr:row>178</xdr:row>
      <xdr:rowOff>76200</xdr:rowOff>
    </xdr:to>
    <xdr:cxnSp macro="">
      <xdr:nvCxnSpPr>
        <xdr:cNvPr id="78879" name="직선 화살표 연결선 78878"/>
        <xdr:cNvCxnSpPr/>
      </xdr:nvCxnSpPr>
      <xdr:spPr>
        <a:xfrm>
          <a:off x="10986407" y="27412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177</xdr:row>
      <xdr:rowOff>19050</xdr:rowOff>
    </xdr:from>
    <xdr:to>
      <xdr:col>42</xdr:col>
      <xdr:colOff>42091</xdr:colOff>
      <xdr:row>177</xdr:row>
      <xdr:rowOff>133350</xdr:rowOff>
    </xdr:to>
    <xdr:sp macro="" textlink="">
      <xdr:nvSpPr>
        <xdr:cNvPr id="78880" name="174"/>
        <xdr:cNvSpPr/>
      </xdr:nvSpPr>
      <xdr:spPr>
        <a:xfrm>
          <a:off x="10986407" y="27203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177</xdr:row>
      <xdr:rowOff>76200</xdr:rowOff>
    </xdr:from>
    <xdr:to>
      <xdr:col>42</xdr:col>
      <xdr:colOff>40822</xdr:colOff>
      <xdr:row>177</xdr:row>
      <xdr:rowOff>76200</xdr:rowOff>
    </xdr:to>
    <xdr:cxnSp macro="">
      <xdr:nvCxnSpPr>
        <xdr:cNvPr id="78881" name="직선 화살표 연결선 78880"/>
        <xdr:cNvCxnSpPr/>
      </xdr:nvCxnSpPr>
      <xdr:spPr>
        <a:xfrm>
          <a:off x="10986407" y="27260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176</xdr:row>
      <xdr:rowOff>19050</xdr:rowOff>
    </xdr:from>
    <xdr:to>
      <xdr:col>42</xdr:col>
      <xdr:colOff>42091</xdr:colOff>
      <xdr:row>176</xdr:row>
      <xdr:rowOff>133350</xdr:rowOff>
    </xdr:to>
    <xdr:sp macro="" textlink="">
      <xdr:nvSpPr>
        <xdr:cNvPr id="78882" name="173"/>
        <xdr:cNvSpPr/>
      </xdr:nvSpPr>
      <xdr:spPr>
        <a:xfrm>
          <a:off x="10986407" y="27051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176</xdr:row>
      <xdr:rowOff>76200</xdr:rowOff>
    </xdr:from>
    <xdr:to>
      <xdr:col>42</xdr:col>
      <xdr:colOff>40822</xdr:colOff>
      <xdr:row>176</xdr:row>
      <xdr:rowOff>76200</xdr:rowOff>
    </xdr:to>
    <xdr:cxnSp macro="">
      <xdr:nvCxnSpPr>
        <xdr:cNvPr id="78883" name="직선 화살표 연결선 78882"/>
        <xdr:cNvCxnSpPr/>
      </xdr:nvCxnSpPr>
      <xdr:spPr>
        <a:xfrm>
          <a:off x="10986407" y="27108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175</xdr:row>
      <xdr:rowOff>19050</xdr:rowOff>
    </xdr:from>
    <xdr:to>
      <xdr:col>42</xdr:col>
      <xdr:colOff>42091</xdr:colOff>
      <xdr:row>175</xdr:row>
      <xdr:rowOff>133350</xdr:rowOff>
    </xdr:to>
    <xdr:sp macro="" textlink="">
      <xdr:nvSpPr>
        <xdr:cNvPr id="78884" name="172"/>
        <xdr:cNvSpPr/>
      </xdr:nvSpPr>
      <xdr:spPr>
        <a:xfrm>
          <a:off x="10986407" y="26898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175</xdr:row>
      <xdr:rowOff>76200</xdr:rowOff>
    </xdr:from>
    <xdr:to>
      <xdr:col>42</xdr:col>
      <xdr:colOff>40822</xdr:colOff>
      <xdr:row>175</xdr:row>
      <xdr:rowOff>76200</xdr:rowOff>
    </xdr:to>
    <xdr:cxnSp macro="">
      <xdr:nvCxnSpPr>
        <xdr:cNvPr id="78885" name="직선 화살표 연결선 78884"/>
        <xdr:cNvCxnSpPr/>
      </xdr:nvCxnSpPr>
      <xdr:spPr>
        <a:xfrm>
          <a:off x="10986407" y="26955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174</xdr:row>
      <xdr:rowOff>19050</xdr:rowOff>
    </xdr:from>
    <xdr:to>
      <xdr:col>42</xdr:col>
      <xdr:colOff>42091</xdr:colOff>
      <xdr:row>174</xdr:row>
      <xdr:rowOff>133350</xdr:rowOff>
    </xdr:to>
    <xdr:sp macro="" textlink="">
      <xdr:nvSpPr>
        <xdr:cNvPr id="78886" name="171"/>
        <xdr:cNvSpPr/>
      </xdr:nvSpPr>
      <xdr:spPr>
        <a:xfrm>
          <a:off x="10986407" y="26746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174</xdr:row>
      <xdr:rowOff>76200</xdr:rowOff>
    </xdr:from>
    <xdr:to>
      <xdr:col>42</xdr:col>
      <xdr:colOff>40822</xdr:colOff>
      <xdr:row>174</xdr:row>
      <xdr:rowOff>76200</xdr:rowOff>
    </xdr:to>
    <xdr:cxnSp macro="">
      <xdr:nvCxnSpPr>
        <xdr:cNvPr id="78887" name="직선 화살표 연결선 78886"/>
        <xdr:cNvCxnSpPr/>
      </xdr:nvCxnSpPr>
      <xdr:spPr>
        <a:xfrm>
          <a:off x="10986407" y="26803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173</xdr:row>
      <xdr:rowOff>19050</xdr:rowOff>
    </xdr:from>
    <xdr:to>
      <xdr:col>42</xdr:col>
      <xdr:colOff>42091</xdr:colOff>
      <xdr:row>173</xdr:row>
      <xdr:rowOff>133350</xdr:rowOff>
    </xdr:to>
    <xdr:sp macro="" textlink="">
      <xdr:nvSpPr>
        <xdr:cNvPr id="78888" name="170"/>
        <xdr:cNvSpPr/>
      </xdr:nvSpPr>
      <xdr:spPr>
        <a:xfrm>
          <a:off x="10986407" y="26593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173</xdr:row>
      <xdr:rowOff>76200</xdr:rowOff>
    </xdr:from>
    <xdr:to>
      <xdr:col>42</xdr:col>
      <xdr:colOff>40822</xdr:colOff>
      <xdr:row>173</xdr:row>
      <xdr:rowOff>76200</xdr:rowOff>
    </xdr:to>
    <xdr:cxnSp macro="">
      <xdr:nvCxnSpPr>
        <xdr:cNvPr id="78889" name="직선 화살표 연결선 78888"/>
        <xdr:cNvCxnSpPr/>
      </xdr:nvCxnSpPr>
      <xdr:spPr>
        <a:xfrm>
          <a:off x="10986407" y="26650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172</xdr:row>
      <xdr:rowOff>19050</xdr:rowOff>
    </xdr:from>
    <xdr:to>
      <xdr:col>42</xdr:col>
      <xdr:colOff>42091</xdr:colOff>
      <xdr:row>172</xdr:row>
      <xdr:rowOff>133350</xdr:rowOff>
    </xdr:to>
    <xdr:sp macro="" textlink="">
      <xdr:nvSpPr>
        <xdr:cNvPr id="78890" name="169"/>
        <xdr:cNvSpPr/>
      </xdr:nvSpPr>
      <xdr:spPr>
        <a:xfrm>
          <a:off x="10986407" y="26441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172</xdr:row>
      <xdr:rowOff>76200</xdr:rowOff>
    </xdr:from>
    <xdr:to>
      <xdr:col>42</xdr:col>
      <xdr:colOff>40822</xdr:colOff>
      <xdr:row>172</xdr:row>
      <xdr:rowOff>76200</xdr:rowOff>
    </xdr:to>
    <xdr:cxnSp macro="">
      <xdr:nvCxnSpPr>
        <xdr:cNvPr id="78891" name="직선 화살표 연결선 78890"/>
        <xdr:cNvCxnSpPr/>
      </xdr:nvCxnSpPr>
      <xdr:spPr>
        <a:xfrm>
          <a:off x="10986407" y="26498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171</xdr:row>
      <xdr:rowOff>19050</xdr:rowOff>
    </xdr:from>
    <xdr:to>
      <xdr:col>42</xdr:col>
      <xdr:colOff>42091</xdr:colOff>
      <xdr:row>171</xdr:row>
      <xdr:rowOff>133350</xdr:rowOff>
    </xdr:to>
    <xdr:sp macro="" textlink="">
      <xdr:nvSpPr>
        <xdr:cNvPr id="78892" name="168"/>
        <xdr:cNvSpPr/>
      </xdr:nvSpPr>
      <xdr:spPr>
        <a:xfrm>
          <a:off x="10986407" y="26289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171</xdr:row>
      <xdr:rowOff>76200</xdr:rowOff>
    </xdr:from>
    <xdr:to>
      <xdr:col>42</xdr:col>
      <xdr:colOff>40822</xdr:colOff>
      <xdr:row>171</xdr:row>
      <xdr:rowOff>76200</xdr:rowOff>
    </xdr:to>
    <xdr:cxnSp macro="">
      <xdr:nvCxnSpPr>
        <xdr:cNvPr id="78893" name="직선 화살표 연결선 78892"/>
        <xdr:cNvCxnSpPr/>
      </xdr:nvCxnSpPr>
      <xdr:spPr>
        <a:xfrm>
          <a:off x="10986407" y="26346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170</xdr:row>
      <xdr:rowOff>19050</xdr:rowOff>
    </xdr:from>
    <xdr:to>
      <xdr:col>42</xdr:col>
      <xdr:colOff>42091</xdr:colOff>
      <xdr:row>170</xdr:row>
      <xdr:rowOff>133350</xdr:rowOff>
    </xdr:to>
    <xdr:sp macro="" textlink="">
      <xdr:nvSpPr>
        <xdr:cNvPr id="78894" name="167"/>
        <xdr:cNvSpPr/>
      </xdr:nvSpPr>
      <xdr:spPr>
        <a:xfrm>
          <a:off x="10986407" y="26136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170</xdr:row>
      <xdr:rowOff>76200</xdr:rowOff>
    </xdr:from>
    <xdr:to>
      <xdr:col>42</xdr:col>
      <xdr:colOff>40822</xdr:colOff>
      <xdr:row>170</xdr:row>
      <xdr:rowOff>76200</xdr:rowOff>
    </xdr:to>
    <xdr:cxnSp macro="">
      <xdr:nvCxnSpPr>
        <xdr:cNvPr id="78895" name="직선 화살표 연결선 78894"/>
        <xdr:cNvCxnSpPr/>
      </xdr:nvCxnSpPr>
      <xdr:spPr>
        <a:xfrm>
          <a:off x="10986407" y="26193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169</xdr:row>
      <xdr:rowOff>19050</xdr:rowOff>
    </xdr:from>
    <xdr:to>
      <xdr:col>42</xdr:col>
      <xdr:colOff>42091</xdr:colOff>
      <xdr:row>169</xdr:row>
      <xdr:rowOff>133350</xdr:rowOff>
    </xdr:to>
    <xdr:sp macro="" textlink="">
      <xdr:nvSpPr>
        <xdr:cNvPr id="78896" name="166"/>
        <xdr:cNvSpPr/>
      </xdr:nvSpPr>
      <xdr:spPr>
        <a:xfrm>
          <a:off x="10986407" y="25984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169</xdr:row>
      <xdr:rowOff>76200</xdr:rowOff>
    </xdr:from>
    <xdr:to>
      <xdr:col>42</xdr:col>
      <xdr:colOff>40822</xdr:colOff>
      <xdr:row>169</xdr:row>
      <xdr:rowOff>76200</xdr:rowOff>
    </xdr:to>
    <xdr:cxnSp macro="">
      <xdr:nvCxnSpPr>
        <xdr:cNvPr id="78897" name="직선 화살표 연결선 78896"/>
        <xdr:cNvCxnSpPr/>
      </xdr:nvCxnSpPr>
      <xdr:spPr>
        <a:xfrm>
          <a:off x="10986407" y="26041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168</xdr:row>
      <xdr:rowOff>19050</xdr:rowOff>
    </xdr:from>
    <xdr:to>
      <xdr:col>42</xdr:col>
      <xdr:colOff>42091</xdr:colOff>
      <xdr:row>168</xdr:row>
      <xdr:rowOff>133350</xdr:rowOff>
    </xdr:to>
    <xdr:sp macro="" textlink="">
      <xdr:nvSpPr>
        <xdr:cNvPr id="78898" name="165"/>
        <xdr:cNvSpPr/>
      </xdr:nvSpPr>
      <xdr:spPr>
        <a:xfrm>
          <a:off x="10986407" y="258318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168</xdr:row>
      <xdr:rowOff>76200</xdr:rowOff>
    </xdr:from>
    <xdr:to>
      <xdr:col>42</xdr:col>
      <xdr:colOff>40822</xdr:colOff>
      <xdr:row>168</xdr:row>
      <xdr:rowOff>76200</xdr:rowOff>
    </xdr:to>
    <xdr:cxnSp macro="">
      <xdr:nvCxnSpPr>
        <xdr:cNvPr id="78899" name="직선 화살표 연결선 78898"/>
        <xdr:cNvCxnSpPr/>
      </xdr:nvCxnSpPr>
      <xdr:spPr>
        <a:xfrm>
          <a:off x="10986407" y="25888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167</xdr:row>
      <xdr:rowOff>19050</xdr:rowOff>
    </xdr:from>
    <xdr:to>
      <xdr:col>42</xdr:col>
      <xdr:colOff>42091</xdr:colOff>
      <xdr:row>167</xdr:row>
      <xdr:rowOff>133350</xdr:rowOff>
    </xdr:to>
    <xdr:sp macro="" textlink="">
      <xdr:nvSpPr>
        <xdr:cNvPr id="78900" name="164"/>
        <xdr:cNvSpPr/>
      </xdr:nvSpPr>
      <xdr:spPr>
        <a:xfrm>
          <a:off x="10986407" y="25679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167</xdr:row>
      <xdr:rowOff>76200</xdr:rowOff>
    </xdr:from>
    <xdr:to>
      <xdr:col>42</xdr:col>
      <xdr:colOff>40822</xdr:colOff>
      <xdr:row>167</xdr:row>
      <xdr:rowOff>76200</xdr:rowOff>
    </xdr:to>
    <xdr:cxnSp macro="">
      <xdr:nvCxnSpPr>
        <xdr:cNvPr id="78901" name="직선 화살표 연결선 78900"/>
        <xdr:cNvCxnSpPr/>
      </xdr:nvCxnSpPr>
      <xdr:spPr>
        <a:xfrm>
          <a:off x="10986407" y="25736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166</xdr:row>
      <xdr:rowOff>19050</xdr:rowOff>
    </xdr:from>
    <xdr:to>
      <xdr:col>42</xdr:col>
      <xdr:colOff>42091</xdr:colOff>
      <xdr:row>166</xdr:row>
      <xdr:rowOff>133350</xdr:rowOff>
    </xdr:to>
    <xdr:sp macro="" textlink="">
      <xdr:nvSpPr>
        <xdr:cNvPr id="78902" name="163"/>
        <xdr:cNvSpPr/>
      </xdr:nvSpPr>
      <xdr:spPr>
        <a:xfrm>
          <a:off x="10986407" y="25527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166</xdr:row>
      <xdr:rowOff>76200</xdr:rowOff>
    </xdr:from>
    <xdr:to>
      <xdr:col>42</xdr:col>
      <xdr:colOff>40822</xdr:colOff>
      <xdr:row>166</xdr:row>
      <xdr:rowOff>76200</xdr:rowOff>
    </xdr:to>
    <xdr:cxnSp macro="">
      <xdr:nvCxnSpPr>
        <xdr:cNvPr id="78903" name="직선 화살표 연결선 78902"/>
        <xdr:cNvCxnSpPr/>
      </xdr:nvCxnSpPr>
      <xdr:spPr>
        <a:xfrm>
          <a:off x="10986407" y="25584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165</xdr:row>
      <xdr:rowOff>19050</xdr:rowOff>
    </xdr:from>
    <xdr:to>
      <xdr:col>42</xdr:col>
      <xdr:colOff>42091</xdr:colOff>
      <xdr:row>165</xdr:row>
      <xdr:rowOff>133350</xdr:rowOff>
    </xdr:to>
    <xdr:sp macro="" textlink="">
      <xdr:nvSpPr>
        <xdr:cNvPr id="78904" name="162"/>
        <xdr:cNvSpPr/>
      </xdr:nvSpPr>
      <xdr:spPr>
        <a:xfrm>
          <a:off x="10986407" y="25374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165</xdr:row>
      <xdr:rowOff>76200</xdr:rowOff>
    </xdr:from>
    <xdr:to>
      <xdr:col>42</xdr:col>
      <xdr:colOff>40822</xdr:colOff>
      <xdr:row>165</xdr:row>
      <xdr:rowOff>76200</xdr:rowOff>
    </xdr:to>
    <xdr:cxnSp macro="">
      <xdr:nvCxnSpPr>
        <xdr:cNvPr id="78905" name="직선 화살표 연결선 78904"/>
        <xdr:cNvCxnSpPr/>
      </xdr:nvCxnSpPr>
      <xdr:spPr>
        <a:xfrm>
          <a:off x="10986407" y="25431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164</xdr:row>
      <xdr:rowOff>19050</xdr:rowOff>
    </xdr:from>
    <xdr:to>
      <xdr:col>42</xdr:col>
      <xdr:colOff>42091</xdr:colOff>
      <xdr:row>164</xdr:row>
      <xdr:rowOff>133350</xdr:rowOff>
    </xdr:to>
    <xdr:sp macro="" textlink="">
      <xdr:nvSpPr>
        <xdr:cNvPr id="78906" name="161"/>
        <xdr:cNvSpPr/>
      </xdr:nvSpPr>
      <xdr:spPr>
        <a:xfrm>
          <a:off x="10986407" y="252222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164</xdr:row>
      <xdr:rowOff>76200</xdr:rowOff>
    </xdr:from>
    <xdr:to>
      <xdr:col>42</xdr:col>
      <xdr:colOff>40822</xdr:colOff>
      <xdr:row>164</xdr:row>
      <xdr:rowOff>76200</xdr:rowOff>
    </xdr:to>
    <xdr:cxnSp macro="">
      <xdr:nvCxnSpPr>
        <xdr:cNvPr id="78907" name="직선 화살표 연결선 78906"/>
        <xdr:cNvCxnSpPr/>
      </xdr:nvCxnSpPr>
      <xdr:spPr>
        <a:xfrm>
          <a:off x="10986407" y="25279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163</xdr:row>
      <xdr:rowOff>19050</xdr:rowOff>
    </xdr:from>
    <xdr:to>
      <xdr:col>42</xdr:col>
      <xdr:colOff>42091</xdr:colOff>
      <xdr:row>163</xdr:row>
      <xdr:rowOff>133350</xdr:rowOff>
    </xdr:to>
    <xdr:sp macro="" textlink="">
      <xdr:nvSpPr>
        <xdr:cNvPr id="78908" name="160"/>
        <xdr:cNvSpPr/>
      </xdr:nvSpPr>
      <xdr:spPr>
        <a:xfrm>
          <a:off x="10986407" y="25069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163</xdr:row>
      <xdr:rowOff>76200</xdr:rowOff>
    </xdr:from>
    <xdr:to>
      <xdr:col>42</xdr:col>
      <xdr:colOff>40822</xdr:colOff>
      <xdr:row>163</xdr:row>
      <xdr:rowOff>76200</xdr:rowOff>
    </xdr:to>
    <xdr:cxnSp macro="">
      <xdr:nvCxnSpPr>
        <xdr:cNvPr id="78909" name="직선 화살표 연결선 78908"/>
        <xdr:cNvCxnSpPr/>
      </xdr:nvCxnSpPr>
      <xdr:spPr>
        <a:xfrm>
          <a:off x="10986407" y="25126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162</xdr:row>
      <xdr:rowOff>19050</xdr:rowOff>
    </xdr:from>
    <xdr:to>
      <xdr:col>42</xdr:col>
      <xdr:colOff>42091</xdr:colOff>
      <xdr:row>162</xdr:row>
      <xdr:rowOff>133350</xdr:rowOff>
    </xdr:to>
    <xdr:sp macro="" textlink="">
      <xdr:nvSpPr>
        <xdr:cNvPr id="78910" name="159"/>
        <xdr:cNvSpPr/>
      </xdr:nvSpPr>
      <xdr:spPr>
        <a:xfrm>
          <a:off x="10986407" y="24917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162</xdr:row>
      <xdr:rowOff>76200</xdr:rowOff>
    </xdr:from>
    <xdr:to>
      <xdr:col>42</xdr:col>
      <xdr:colOff>40822</xdr:colOff>
      <xdr:row>162</xdr:row>
      <xdr:rowOff>76200</xdr:rowOff>
    </xdr:to>
    <xdr:cxnSp macro="">
      <xdr:nvCxnSpPr>
        <xdr:cNvPr id="78911" name="직선 화살표 연결선 78910"/>
        <xdr:cNvCxnSpPr/>
      </xdr:nvCxnSpPr>
      <xdr:spPr>
        <a:xfrm>
          <a:off x="10986407" y="24974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161</xdr:row>
      <xdr:rowOff>19050</xdr:rowOff>
    </xdr:from>
    <xdr:to>
      <xdr:col>42</xdr:col>
      <xdr:colOff>42091</xdr:colOff>
      <xdr:row>161</xdr:row>
      <xdr:rowOff>133350</xdr:rowOff>
    </xdr:to>
    <xdr:sp macro="" textlink="">
      <xdr:nvSpPr>
        <xdr:cNvPr id="78912" name="158"/>
        <xdr:cNvSpPr/>
      </xdr:nvSpPr>
      <xdr:spPr>
        <a:xfrm>
          <a:off x="10986407" y="24765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161</xdr:row>
      <xdr:rowOff>76200</xdr:rowOff>
    </xdr:from>
    <xdr:to>
      <xdr:col>42</xdr:col>
      <xdr:colOff>40822</xdr:colOff>
      <xdr:row>161</xdr:row>
      <xdr:rowOff>76200</xdr:rowOff>
    </xdr:to>
    <xdr:cxnSp macro="">
      <xdr:nvCxnSpPr>
        <xdr:cNvPr id="78913" name="직선 화살표 연결선 78912"/>
        <xdr:cNvCxnSpPr/>
      </xdr:nvCxnSpPr>
      <xdr:spPr>
        <a:xfrm>
          <a:off x="10986407" y="24822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160</xdr:row>
      <xdr:rowOff>19050</xdr:rowOff>
    </xdr:from>
    <xdr:to>
      <xdr:col>42</xdr:col>
      <xdr:colOff>42091</xdr:colOff>
      <xdr:row>160</xdr:row>
      <xdr:rowOff>133350</xdr:rowOff>
    </xdr:to>
    <xdr:sp macro="" textlink="">
      <xdr:nvSpPr>
        <xdr:cNvPr id="78914" name="157"/>
        <xdr:cNvSpPr/>
      </xdr:nvSpPr>
      <xdr:spPr>
        <a:xfrm>
          <a:off x="10986407" y="24612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160</xdr:row>
      <xdr:rowOff>76200</xdr:rowOff>
    </xdr:from>
    <xdr:to>
      <xdr:col>42</xdr:col>
      <xdr:colOff>40822</xdr:colOff>
      <xdr:row>160</xdr:row>
      <xdr:rowOff>76200</xdr:rowOff>
    </xdr:to>
    <xdr:cxnSp macro="">
      <xdr:nvCxnSpPr>
        <xdr:cNvPr id="78915" name="직선 화살표 연결선 78914"/>
        <xdr:cNvCxnSpPr/>
      </xdr:nvCxnSpPr>
      <xdr:spPr>
        <a:xfrm>
          <a:off x="10986407" y="24669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159</xdr:row>
      <xdr:rowOff>19050</xdr:rowOff>
    </xdr:from>
    <xdr:to>
      <xdr:col>42</xdr:col>
      <xdr:colOff>42091</xdr:colOff>
      <xdr:row>159</xdr:row>
      <xdr:rowOff>133350</xdr:rowOff>
    </xdr:to>
    <xdr:sp macro="" textlink="">
      <xdr:nvSpPr>
        <xdr:cNvPr id="78916" name="156"/>
        <xdr:cNvSpPr/>
      </xdr:nvSpPr>
      <xdr:spPr>
        <a:xfrm>
          <a:off x="10986407" y="244602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159</xdr:row>
      <xdr:rowOff>76200</xdr:rowOff>
    </xdr:from>
    <xdr:to>
      <xdr:col>42</xdr:col>
      <xdr:colOff>40822</xdr:colOff>
      <xdr:row>159</xdr:row>
      <xdr:rowOff>76200</xdr:rowOff>
    </xdr:to>
    <xdr:cxnSp macro="">
      <xdr:nvCxnSpPr>
        <xdr:cNvPr id="78917" name="직선 화살표 연결선 78916"/>
        <xdr:cNvCxnSpPr/>
      </xdr:nvCxnSpPr>
      <xdr:spPr>
        <a:xfrm>
          <a:off x="10986407" y="24517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158</xdr:row>
      <xdr:rowOff>19050</xdr:rowOff>
    </xdr:from>
    <xdr:to>
      <xdr:col>42</xdr:col>
      <xdr:colOff>42091</xdr:colOff>
      <xdr:row>158</xdr:row>
      <xdr:rowOff>133350</xdr:rowOff>
    </xdr:to>
    <xdr:sp macro="" textlink="">
      <xdr:nvSpPr>
        <xdr:cNvPr id="78918" name="155"/>
        <xdr:cNvSpPr/>
      </xdr:nvSpPr>
      <xdr:spPr>
        <a:xfrm>
          <a:off x="10986407" y="24307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158</xdr:row>
      <xdr:rowOff>76200</xdr:rowOff>
    </xdr:from>
    <xdr:to>
      <xdr:col>42</xdr:col>
      <xdr:colOff>40822</xdr:colOff>
      <xdr:row>158</xdr:row>
      <xdr:rowOff>76200</xdr:rowOff>
    </xdr:to>
    <xdr:cxnSp macro="">
      <xdr:nvCxnSpPr>
        <xdr:cNvPr id="78919" name="직선 화살표 연결선 78918"/>
        <xdr:cNvCxnSpPr/>
      </xdr:nvCxnSpPr>
      <xdr:spPr>
        <a:xfrm>
          <a:off x="10986407" y="24364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157</xdr:row>
      <xdr:rowOff>19050</xdr:rowOff>
    </xdr:from>
    <xdr:to>
      <xdr:col>42</xdr:col>
      <xdr:colOff>42091</xdr:colOff>
      <xdr:row>157</xdr:row>
      <xdr:rowOff>133350</xdr:rowOff>
    </xdr:to>
    <xdr:sp macro="" textlink="">
      <xdr:nvSpPr>
        <xdr:cNvPr id="78920" name="154"/>
        <xdr:cNvSpPr/>
      </xdr:nvSpPr>
      <xdr:spPr>
        <a:xfrm>
          <a:off x="10986407" y="24155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157</xdr:row>
      <xdr:rowOff>76200</xdr:rowOff>
    </xdr:from>
    <xdr:to>
      <xdr:col>42</xdr:col>
      <xdr:colOff>40822</xdr:colOff>
      <xdr:row>157</xdr:row>
      <xdr:rowOff>76200</xdr:rowOff>
    </xdr:to>
    <xdr:cxnSp macro="">
      <xdr:nvCxnSpPr>
        <xdr:cNvPr id="78921" name="직선 화살표 연결선 78920"/>
        <xdr:cNvCxnSpPr/>
      </xdr:nvCxnSpPr>
      <xdr:spPr>
        <a:xfrm>
          <a:off x="10986407" y="24212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156</xdr:row>
      <xdr:rowOff>19050</xdr:rowOff>
    </xdr:from>
    <xdr:to>
      <xdr:col>42</xdr:col>
      <xdr:colOff>42091</xdr:colOff>
      <xdr:row>156</xdr:row>
      <xdr:rowOff>133350</xdr:rowOff>
    </xdr:to>
    <xdr:sp macro="" textlink="">
      <xdr:nvSpPr>
        <xdr:cNvPr id="78922" name="153"/>
        <xdr:cNvSpPr/>
      </xdr:nvSpPr>
      <xdr:spPr>
        <a:xfrm>
          <a:off x="10986407" y="24003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156</xdr:row>
      <xdr:rowOff>76200</xdr:rowOff>
    </xdr:from>
    <xdr:to>
      <xdr:col>42</xdr:col>
      <xdr:colOff>40822</xdr:colOff>
      <xdr:row>156</xdr:row>
      <xdr:rowOff>76200</xdr:rowOff>
    </xdr:to>
    <xdr:cxnSp macro="">
      <xdr:nvCxnSpPr>
        <xdr:cNvPr id="78923" name="직선 화살표 연결선 78922"/>
        <xdr:cNvCxnSpPr/>
      </xdr:nvCxnSpPr>
      <xdr:spPr>
        <a:xfrm>
          <a:off x="10986407" y="24060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155</xdr:row>
      <xdr:rowOff>19050</xdr:rowOff>
    </xdr:from>
    <xdr:to>
      <xdr:col>42</xdr:col>
      <xdr:colOff>42091</xdr:colOff>
      <xdr:row>155</xdr:row>
      <xdr:rowOff>133350</xdr:rowOff>
    </xdr:to>
    <xdr:sp macro="" textlink="">
      <xdr:nvSpPr>
        <xdr:cNvPr id="78924" name="152"/>
        <xdr:cNvSpPr/>
      </xdr:nvSpPr>
      <xdr:spPr>
        <a:xfrm>
          <a:off x="10986407" y="23850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155</xdr:row>
      <xdr:rowOff>76200</xdr:rowOff>
    </xdr:from>
    <xdr:to>
      <xdr:col>42</xdr:col>
      <xdr:colOff>40822</xdr:colOff>
      <xdr:row>155</xdr:row>
      <xdr:rowOff>76200</xdr:rowOff>
    </xdr:to>
    <xdr:cxnSp macro="">
      <xdr:nvCxnSpPr>
        <xdr:cNvPr id="78925" name="직선 화살표 연결선 78924"/>
        <xdr:cNvCxnSpPr/>
      </xdr:nvCxnSpPr>
      <xdr:spPr>
        <a:xfrm>
          <a:off x="10986407" y="23907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154</xdr:row>
      <xdr:rowOff>19050</xdr:rowOff>
    </xdr:from>
    <xdr:to>
      <xdr:col>42</xdr:col>
      <xdr:colOff>42091</xdr:colOff>
      <xdr:row>154</xdr:row>
      <xdr:rowOff>133350</xdr:rowOff>
    </xdr:to>
    <xdr:sp macro="" textlink="">
      <xdr:nvSpPr>
        <xdr:cNvPr id="78926" name="151"/>
        <xdr:cNvSpPr/>
      </xdr:nvSpPr>
      <xdr:spPr>
        <a:xfrm>
          <a:off x="10986407" y="23698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154</xdr:row>
      <xdr:rowOff>76200</xdr:rowOff>
    </xdr:from>
    <xdr:to>
      <xdr:col>42</xdr:col>
      <xdr:colOff>40822</xdr:colOff>
      <xdr:row>154</xdr:row>
      <xdr:rowOff>76200</xdr:rowOff>
    </xdr:to>
    <xdr:cxnSp macro="">
      <xdr:nvCxnSpPr>
        <xdr:cNvPr id="78927" name="직선 화살표 연결선 78926"/>
        <xdr:cNvCxnSpPr/>
      </xdr:nvCxnSpPr>
      <xdr:spPr>
        <a:xfrm>
          <a:off x="10986407" y="23755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153</xdr:row>
      <xdr:rowOff>19050</xdr:rowOff>
    </xdr:from>
    <xdr:to>
      <xdr:col>42</xdr:col>
      <xdr:colOff>42091</xdr:colOff>
      <xdr:row>153</xdr:row>
      <xdr:rowOff>133350</xdr:rowOff>
    </xdr:to>
    <xdr:sp macro="" textlink="">
      <xdr:nvSpPr>
        <xdr:cNvPr id="78928" name="150"/>
        <xdr:cNvSpPr/>
      </xdr:nvSpPr>
      <xdr:spPr>
        <a:xfrm>
          <a:off x="10986407" y="235458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153</xdr:row>
      <xdr:rowOff>76200</xdr:rowOff>
    </xdr:from>
    <xdr:to>
      <xdr:col>42</xdr:col>
      <xdr:colOff>40822</xdr:colOff>
      <xdr:row>153</xdr:row>
      <xdr:rowOff>76200</xdr:rowOff>
    </xdr:to>
    <xdr:cxnSp macro="">
      <xdr:nvCxnSpPr>
        <xdr:cNvPr id="78929" name="직선 화살표 연결선 78928"/>
        <xdr:cNvCxnSpPr/>
      </xdr:nvCxnSpPr>
      <xdr:spPr>
        <a:xfrm>
          <a:off x="10986407" y="23602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152</xdr:row>
      <xdr:rowOff>19050</xdr:rowOff>
    </xdr:from>
    <xdr:to>
      <xdr:col>42</xdr:col>
      <xdr:colOff>42091</xdr:colOff>
      <xdr:row>152</xdr:row>
      <xdr:rowOff>133350</xdr:rowOff>
    </xdr:to>
    <xdr:sp macro="" textlink="">
      <xdr:nvSpPr>
        <xdr:cNvPr id="78930" name="149"/>
        <xdr:cNvSpPr/>
      </xdr:nvSpPr>
      <xdr:spPr>
        <a:xfrm>
          <a:off x="10986407" y="23393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152</xdr:row>
      <xdr:rowOff>76200</xdr:rowOff>
    </xdr:from>
    <xdr:to>
      <xdr:col>42</xdr:col>
      <xdr:colOff>40822</xdr:colOff>
      <xdr:row>152</xdr:row>
      <xdr:rowOff>76200</xdr:rowOff>
    </xdr:to>
    <xdr:cxnSp macro="">
      <xdr:nvCxnSpPr>
        <xdr:cNvPr id="78931" name="직선 화살표 연결선 78930"/>
        <xdr:cNvCxnSpPr/>
      </xdr:nvCxnSpPr>
      <xdr:spPr>
        <a:xfrm>
          <a:off x="10986407" y="23450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151</xdr:row>
      <xdr:rowOff>19050</xdr:rowOff>
    </xdr:from>
    <xdr:to>
      <xdr:col>42</xdr:col>
      <xdr:colOff>42091</xdr:colOff>
      <xdr:row>151</xdr:row>
      <xdr:rowOff>133350</xdr:rowOff>
    </xdr:to>
    <xdr:sp macro="" textlink="">
      <xdr:nvSpPr>
        <xdr:cNvPr id="78932" name="148"/>
        <xdr:cNvSpPr/>
      </xdr:nvSpPr>
      <xdr:spPr>
        <a:xfrm>
          <a:off x="10986407" y="23241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151</xdr:row>
      <xdr:rowOff>76200</xdr:rowOff>
    </xdr:from>
    <xdr:to>
      <xdr:col>42</xdr:col>
      <xdr:colOff>40822</xdr:colOff>
      <xdr:row>151</xdr:row>
      <xdr:rowOff>76200</xdr:rowOff>
    </xdr:to>
    <xdr:cxnSp macro="">
      <xdr:nvCxnSpPr>
        <xdr:cNvPr id="78933" name="직선 화살표 연결선 78932"/>
        <xdr:cNvCxnSpPr/>
      </xdr:nvCxnSpPr>
      <xdr:spPr>
        <a:xfrm>
          <a:off x="10986407" y="23298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150</xdr:row>
      <xdr:rowOff>19050</xdr:rowOff>
    </xdr:from>
    <xdr:to>
      <xdr:col>42</xdr:col>
      <xdr:colOff>42091</xdr:colOff>
      <xdr:row>150</xdr:row>
      <xdr:rowOff>133350</xdr:rowOff>
    </xdr:to>
    <xdr:sp macro="" textlink="">
      <xdr:nvSpPr>
        <xdr:cNvPr id="78934" name="147"/>
        <xdr:cNvSpPr/>
      </xdr:nvSpPr>
      <xdr:spPr>
        <a:xfrm>
          <a:off x="10986407" y="23088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150</xdr:row>
      <xdr:rowOff>76200</xdr:rowOff>
    </xdr:from>
    <xdr:to>
      <xdr:col>42</xdr:col>
      <xdr:colOff>40822</xdr:colOff>
      <xdr:row>150</xdr:row>
      <xdr:rowOff>76200</xdr:rowOff>
    </xdr:to>
    <xdr:cxnSp macro="">
      <xdr:nvCxnSpPr>
        <xdr:cNvPr id="78935" name="직선 화살표 연결선 78934"/>
        <xdr:cNvCxnSpPr/>
      </xdr:nvCxnSpPr>
      <xdr:spPr>
        <a:xfrm>
          <a:off x="10986407" y="23145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149</xdr:row>
      <xdr:rowOff>19050</xdr:rowOff>
    </xdr:from>
    <xdr:to>
      <xdr:col>42</xdr:col>
      <xdr:colOff>42091</xdr:colOff>
      <xdr:row>149</xdr:row>
      <xdr:rowOff>133350</xdr:rowOff>
    </xdr:to>
    <xdr:sp macro="" textlink="">
      <xdr:nvSpPr>
        <xdr:cNvPr id="78936" name="146"/>
        <xdr:cNvSpPr/>
      </xdr:nvSpPr>
      <xdr:spPr>
        <a:xfrm>
          <a:off x="10986407" y="229362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149</xdr:row>
      <xdr:rowOff>76200</xdr:rowOff>
    </xdr:from>
    <xdr:to>
      <xdr:col>42</xdr:col>
      <xdr:colOff>40822</xdr:colOff>
      <xdr:row>149</xdr:row>
      <xdr:rowOff>76200</xdr:rowOff>
    </xdr:to>
    <xdr:cxnSp macro="">
      <xdr:nvCxnSpPr>
        <xdr:cNvPr id="78937" name="직선 화살표 연결선 78936"/>
        <xdr:cNvCxnSpPr/>
      </xdr:nvCxnSpPr>
      <xdr:spPr>
        <a:xfrm>
          <a:off x="10986407" y="22993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148</xdr:row>
      <xdr:rowOff>19050</xdr:rowOff>
    </xdr:from>
    <xdr:to>
      <xdr:col>42</xdr:col>
      <xdr:colOff>42091</xdr:colOff>
      <xdr:row>148</xdr:row>
      <xdr:rowOff>133350</xdr:rowOff>
    </xdr:to>
    <xdr:sp macro="" textlink="">
      <xdr:nvSpPr>
        <xdr:cNvPr id="78938" name="145"/>
        <xdr:cNvSpPr/>
      </xdr:nvSpPr>
      <xdr:spPr>
        <a:xfrm>
          <a:off x="10986407" y="22783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148</xdr:row>
      <xdr:rowOff>76200</xdr:rowOff>
    </xdr:from>
    <xdr:to>
      <xdr:col>42</xdr:col>
      <xdr:colOff>40822</xdr:colOff>
      <xdr:row>148</xdr:row>
      <xdr:rowOff>76200</xdr:rowOff>
    </xdr:to>
    <xdr:cxnSp macro="">
      <xdr:nvCxnSpPr>
        <xdr:cNvPr id="78939" name="직선 화살표 연결선 78938"/>
        <xdr:cNvCxnSpPr/>
      </xdr:nvCxnSpPr>
      <xdr:spPr>
        <a:xfrm>
          <a:off x="10986407" y="22840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147</xdr:row>
      <xdr:rowOff>19050</xdr:rowOff>
    </xdr:from>
    <xdr:to>
      <xdr:col>42</xdr:col>
      <xdr:colOff>42091</xdr:colOff>
      <xdr:row>147</xdr:row>
      <xdr:rowOff>133350</xdr:rowOff>
    </xdr:to>
    <xdr:sp macro="" textlink="">
      <xdr:nvSpPr>
        <xdr:cNvPr id="78940" name="144"/>
        <xdr:cNvSpPr/>
      </xdr:nvSpPr>
      <xdr:spPr>
        <a:xfrm>
          <a:off x="10986407" y="22631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147</xdr:row>
      <xdr:rowOff>76200</xdr:rowOff>
    </xdr:from>
    <xdr:to>
      <xdr:col>42</xdr:col>
      <xdr:colOff>40822</xdr:colOff>
      <xdr:row>147</xdr:row>
      <xdr:rowOff>76200</xdr:rowOff>
    </xdr:to>
    <xdr:cxnSp macro="">
      <xdr:nvCxnSpPr>
        <xdr:cNvPr id="78941" name="직선 화살표 연결선 78940"/>
        <xdr:cNvCxnSpPr/>
      </xdr:nvCxnSpPr>
      <xdr:spPr>
        <a:xfrm>
          <a:off x="10986407" y="22688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146</xdr:row>
      <xdr:rowOff>19050</xdr:rowOff>
    </xdr:from>
    <xdr:to>
      <xdr:col>42</xdr:col>
      <xdr:colOff>42091</xdr:colOff>
      <xdr:row>146</xdr:row>
      <xdr:rowOff>133350</xdr:rowOff>
    </xdr:to>
    <xdr:sp macro="" textlink="">
      <xdr:nvSpPr>
        <xdr:cNvPr id="78942" name="143"/>
        <xdr:cNvSpPr/>
      </xdr:nvSpPr>
      <xdr:spPr>
        <a:xfrm>
          <a:off x="10986407" y="22479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146</xdr:row>
      <xdr:rowOff>76200</xdr:rowOff>
    </xdr:from>
    <xdr:to>
      <xdr:col>42</xdr:col>
      <xdr:colOff>40822</xdr:colOff>
      <xdr:row>146</xdr:row>
      <xdr:rowOff>76200</xdr:rowOff>
    </xdr:to>
    <xdr:cxnSp macro="">
      <xdr:nvCxnSpPr>
        <xdr:cNvPr id="78943" name="직선 화살표 연결선 78942"/>
        <xdr:cNvCxnSpPr/>
      </xdr:nvCxnSpPr>
      <xdr:spPr>
        <a:xfrm>
          <a:off x="10986407" y="22536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145</xdr:row>
      <xdr:rowOff>19050</xdr:rowOff>
    </xdr:from>
    <xdr:to>
      <xdr:col>42</xdr:col>
      <xdr:colOff>42091</xdr:colOff>
      <xdr:row>145</xdr:row>
      <xdr:rowOff>133350</xdr:rowOff>
    </xdr:to>
    <xdr:sp macro="" textlink="">
      <xdr:nvSpPr>
        <xdr:cNvPr id="78944" name="142"/>
        <xdr:cNvSpPr/>
      </xdr:nvSpPr>
      <xdr:spPr>
        <a:xfrm>
          <a:off x="10986407" y="22326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145</xdr:row>
      <xdr:rowOff>76200</xdr:rowOff>
    </xdr:from>
    <xdr:to>
      <xdr:col>42</xdr:col>
      <xdr:colOff>40822</xdr:colOff>
      <xdr:row>145</xdr:row>
      <xdr:rowOff>76200</xdr:rowOff>
    </xdr:to>
    <xdr:cxnSp macro="">
      <xdr:nvCxnSpPr>
        <xdr:cNvPr id="78945" name="직선 화살표 연결선 78944"/>
        <xdr:cNvCxnSpPr/>
      </xdr:nvCxnSpPr>
      <xdr:spPr>
        <a:xfrm>
          <a:off x="10986407" y="22383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144</xdr:row>
      <xdr:rowOff>19050</xdr:rowOff>
    </xdr:from>
    <xdr:to>
      <xdr:col>42</xdr:col>
      <xdr:colOff>42091</xdr:colOff>
      <xdr:row>144</xdr:row>
      <xdr:rowOff>133350</xdr:rowOff>
    </xdr:to>
    <xdr:sp macro="" textlink="">
      <xdr:nvSpPr>
        <xdr:cNvPr id="78946" name="141"/>
        <xdr:cNvSpPr/>
      </xdr:nvSpPr>
      <xdr:spPr>
        <a:xfrm>
          <a:off x="10986407" y="22174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144</xdr:row>
      <xdr:rowOff>76200</xdr:rowOff>
    </xdr:from>
    <xdr:to>
      <xdr:col>42</xdr:col>
      <xdr:colOff>40822</xdr:colOff>
      <xdr:row>144</xdr:row>
      <xdr:rowOff>76200</xdr:rowOff>
    </xdr:to>
    <xdr:cxnSp macro="">
      <xdr:nvCxnSpPr>
        <xdr:cNvPr id="78947" name="직선 화살표 연결선 78946"/>
        <xdr:cNvCxnSpPr/>
      </xdr:nvCxnSpPr>
      <xdr:spPr>
        <a:xfrm>
          <a:off x="10986407" y="22231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143</xdr:row>
      <xdr:rowOff>19050</xdr:rowOff>
    </xdr:from>
    <xdr:to>
      <xdr:col>42</xdr:col>
      <xdr:colOff>42091</xdr:colOff>
      <xdr:row>143</xdr:row>
      <xdr:rowOff>133350</xdr:rowOff>
    </xdr:to>
    <xdr:sp macro="" textlink="">
      <xdr:nvSpPr>
        <xdr:cNvPr id="78948" name="140"/>
        <xdr:cNvSpPr/>
      </xdr:nvSpPr>
      <xdr:spPr>
        <a:xfrm>
          <a:off x="10986407" y="220218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143</xdr:row>
      <xdr:rowOff>76200</xdr:rowOff>
    </xdr:from>
    <xdr:to>
      <xdr:col>42</xdr:col>
      <xdr:colOff>40822</xdr:colOff>
      <xdr:row>143</xdr:row>
      <xdr:rowOff>76200</xdr:rowOff>
    </xdr:to>
    <xdr:cxnSp macro="">
      <xdr:nvCxnSpPr>
        <xdr:cNvPr id="78949" name="직선 화살표 연결선 78948"/>
        <xdr:cNvCxnSpPr/>
      </xdr:nvCxnSpPr>
      <xdr:spPr>
        <a:xfrm>
          <a:off x="10986407" y="22078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142</xdr:row>
      <xdr:rowOff>19050</xdr:rowOff>
    </xdr:from>
    <xdr:to>
      <xdr:col>42</xdr:col>
      <xdr:colOff>42091</xdr:colOff>
      <xdr:row>142</xdr:row>
      <xdr:rowOff>133350</xdr:rowOff>
    </xdr:to>
    <xdr:sp macro="" textlink="">
      <xdr:nvSpPr>
        <xdr:cNvPr id="78950" name="139"/>
        <xdr:cNvSpPr/>
      </xdr:nvSpPr>
      <xdr:spPr>
        <a:xfrm>
          <a:off x="10986407" y="21869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142</xdr:row>
      <xdr:rowOff>76200</xdr:rowOff>
    </xdr:from>
    <xdr:to>
      <xdr:col>42</xdr:col>
      <xdr:colOff>40822</xdr:colOff>
      <xdr:row>142</xdr:row>
      <xdr:rowOff>76200</xdr:rowOff>
    </xdr:to>
    <xdr:cxnSp macro="">
      <xdr:nvCxnSpPr>
        <xdr:cNvPr id="78951" name="직선 화살표 연결선 78950"/>
        <xdr:cNvCxnSpPr/>
      </xdr:nvCxnSpPr>
      <xdr:spPr>
        <a:xfrm>
          <a:off x="10986407" y="21926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141</xdr:row>
      <xdr:rowOff>19050</xdr:rowOff>
    </xdr:from>
    <xdr:to>
      <xdr:col>42</xdr:col>
      <xdr:colOff>42091</xdr:colOff>
      <xdr:row>141</xdr:row>
      <xdr:rowOff>133350</xdr:rowOff>
    </xdr:to>
    <xdr:sp macro="" textlink="">
      <xdr:nvSpPr>
        <xdr:cNvPr id="78952" name="138"/>
        <xdr:cNvSpPr/>
      </xdr:nvSpPr>
      <xdr:spPr>
        <a:xfrm>
          <a:off x="10986407" y="21717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141</xdr:row>
      <xdr:rowOff>76200</xdr:rowOff>
    </xdr:from>
    <xdr:to>
      <xdr:col>42</xdr:col>
      <xdr:colOff>40822</xdr:colOff>
      <xdr:row>141</xdr:row>
      <xdr:rowOff>76200</xdr:rowOff>
    </xdr:to>
    <xdr:cxnSp macro="">
      <xdr:nvCxnSpPr>
        <xdr:cNvPr id="78953" name="직선 화살표 연결선 78952"/>
        <xdr:cNvCxnSpPr/>
      </xdr:nvCxnSpPr>
      <xdr:spPr>
        <a:xfrm>
          <a:off x="10986407" y="21774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140</xdr:row>
      <xdr:rowOff>19050</xdr:rowOff>
    </xdr:from>
    <xdr:to>
      <xdr:col>42</xdr:col>
      <xdr:colOff>42091</xdr:colOff>
      <xdr:row>140</xdr:row>
      <xdr:rowOff>133350</xdr:rowOff>
    </xdr:to>
    <xdr:sp macro="" textlink="">
      <xdr:nvSpPr>
        <xdr:cNvPr id="78954" name="137"/>
        <xdr:cNvSpPr/>
      </xdr:nvSpPr>
      <xdr:spPr>
        <a:xfrm>
          <a:off x="10986407" y="21564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140</xdr:row>
      <xdr:rowOff>76200</xdr:rowOff>
    </xdr:from>
    <xdr:to>
      <xdr:col>42</xdr:col>
      <xdr:colOff>40822</xdr:colOff>
      <xdr:row>140</xdr:row>
      <xdr:rowOff>76200</xdr:rowOff>
    </xdr:to>
    <xdr:cxnSp macro="">
      <xdr:nvCxnSpPr>
        <xdr:cNvPr id="78955" name="직선 화살표 연결선 78954"/>
        <xdr:cNvCxnSpPr/>
      </xdr:nvCxnSpPr>
      <xdr:spPr>
        <a:xfrm>
          <a:off x="10986407" y="21621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139</xdr:row>
      <xdr:rowOff>19050</xdr:rowOff>
    </xdr:from>
    <xdr:to>
      <xdr:col>42</xdr:col>
      <xdr:colOff>42091</xdr:colOff>
      <xdr:row>139</xdr:row>
      <xdr:rowOff>133350</xdr:rowOff>
    </xdr:to>
    <xdr:sp macro="" textlink="">
      <xdr:nvSpPr>
        <xdr:cNvPr id="78956" name="136"/>
        <xdr:cNvSpPr/>
      </xdr:nvSpPr>
      <xdr:spPr>
        <a:xfrm>
          <a:off x="10986407" y="21412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139</xdr:row>
      <xdr:rowOff>76200</xdr:rowOff>
    </xdr:from>
    <xdr:to>
      <xdr:col>42</xdr:col>
      <xdr:colOff>40822</xdr:colOff>
      <xdr:row>139</xdr:row>
      <xdr:rowOff>76200</xdr:rowOff>
    </xdr:to>
    <xdr:cxnSp macro="">
      <xdr:nvCxnSpPr>
        <xdr:cNvPr id="78957" name="직선 화살표 연결선 78956"/>
        <xdr:cNvCxnSpPr/>
      </xdr:nvCxnSpPr>
      <xdr:spPr>
        <a:xfrm>
          <a:off x="10986407" y="21469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138</xdr:row>
      <xdr:rowOff>19050</xdr:rowOff>
    </xdr:from>
    <xdr:to>
      <xdr:col>42</xdr:col>
      <xdr:colOff>42091</xdr:colOff>
      <xdr:row>138</xdr:row>
      <xdr:rowOff>133350</xdr:rowOff>
    </xdr:to>
    <xdr:sp macro="" textlink="">
      <xdr:nvSpPr>
        <xdr:cNvPr id="78958" name="135"/>
        <xdr:cNvSpPr/>
      </xdr:nvSpPr>
      <xdr:spPr>
        <a:xfrm>
          <a:off x="10986407" y="21259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138</xdr:row>
      <xdr:rowOff>76200</xdr:rowOff>
    </xdr:from>
    <xdr:to>
      <xdr:col>42</xdr:col>
      <xdr:colOff>40822</xdr:colOff>
      <xdr:row>138</xdr:row>
      <xdr:rowOff>76200</xdr:rowOff>
    </xdr:to>
    <xdr:cxnSp macro="">
      <xdr:nvCxnSpPr>
        <xdr:cNvPr id="78959" name="직선 화살표 연결선 78958"/>
        <xdr:cNvCxnSpPr/>
      </xdr:nvCxnSpPr>
      <xdr:spPr>
        <a:xfrm>
          <a:off x="10986407" y="21316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137</xdr:row>
      <xdr:rowOff>19050</xdr:rowOff>
    </xdr:from>
    <xdr:to>
      <xdr:col>42</xdr:col>
      <xdr:colOff>42091</xdr:colOff>
      <xdr:row>137</xdr:row>
      <xdr:rowOff>133350</xdr:rowOff>
    </xdr:to>
    <xdr:sp macro="" textlink="">
      <xdr:nvSpPr>
        <xdr:cNvPr id="78960" name="134"/>
        <xdr:cNvSpPr/>
      </xdr:nvSpPr>
      <xdr:spPr>
        <a:xfrm>
          <a:off x="10986407" y="21107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137</xdr:row>
      <xdr:rowOff>76200</xdr:rowOff>
    </xdr:from>
    <xdr:to>
      <xdr:col>42</xdr:col>
      <xdr:colOff>40822</xdr:colOff>
      <xdr:row>137</xdr:row>
      <xdr:rowOff>76200</xdr:rowOff>
    </xdr:to>
    <xdr:cxnSp macro="">
      <xdr:nvCxnSpPr>
        <xdr:cNvPr id="78961" name="직선 화살표 연결선 78960"/>
        <xdr:cNvCxnSpPr/>
      </xdr:nvCxnSpPr>
      <xdr:spPr>
        <a:xfrm>
          <a:off x="10986407" y="21164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136</xdr:row>
      <xdr:rowOff>19050</xdr:rowOff>
    </xdr:from>
    <xdr:to>
      <xdr:col>42</xdr:col>
      <xdr:colOff>42091</xdr:colOff>
      <xdr:row>136</xdr:row>
      <xdr:rowOff>133350</xdr:rowOff>
    </xdr:to>
    <xdr:sp macro="" textlink="">
      <xdr:nvSpPr>
        <xdr:cNvPr id="78962" name="133"/>
        <xdr:cNvSpPr/>
      </xdr:nvSpPr>
      <xdr:spPr>
        <a:xfrm>
          <a:off x="10986407" y="20955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136</xdr:row>
      <xdr:rowOff>76200</xdr:rowOff>
    </xdr:from>
    <xdr:to>
      <xdr:col>42</xdr:col>
      <xdr:colOff>40822</xdr:colOff>
      <xdr:row>136</xdr:row>
      <xdr:rowOff>76200</xdr:rowOff>
    </xdr:to>
    <xdr:cxnSp macro="">
      <xdr:nvCxnSpPr>
        <xdr:cNvPr id="78963" name="직선 화살표 연결선 78962"/>
        <xdr:cNvCxnSpPr/>
      </xdr:nvCxnSpPr>
      <xdr:spPr>
        <a:xfrm>
          <a:off x="10986407" y="21012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135</xdr:row>
      <xdr:rowOff>19050</xdr:rowOff>
    </xdr:from>
    <xdr:to>
      <xdr:col>36</xdr:col>
      <xdr:colOff>82913</xdr:colOff>
      <xdr:row>135</xdr:row>
      <xdr:rowOff>133350</xdr:rowOff>
    </xdr:to>
    <xdr:sp macro="" textlink="">
      <xdr:nvSpPr>
        <xdr:cNvPr id="78964" name="132"/>
        <xdr:cNvSpPr/>
      </xdr:nvSpPr>
      <xdr:spPr>
        <a:xfrm>
          <a:off x="10700657" y="20802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135</xdr:row>
      <xdr:rowOff>76200</xdr:rowOff>
    </xdr:from>
    <xdr:to>
      <xdr:col>36</xdr:col>
      <xdr:colOff>81643</xdr:colOff>
      <xdr:row>135</xdr:row>
      <xdr:rowOff>76200</xdr:rowOff>
    </xdr:to>
    <xdr:cxnSp macro="">
      <xdr:nvCxnSpPr>
        <xdr:cNvPr id="78965" name="직선 화살표 연결선 78964"/>
        <xdr:cNvCxnSpPr/>
      </xdr:nvCxnSpPr>
      <xdr:spPr>
        <a:xfrm>
          <a:off x="10700657" y="20859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134</xdr:row>
      <xdr:rowOff>19050</xdr:rowOff>
    </xdr:from>
    <xdr:to>
      <xdr:col>36</xdr:col>
      <xdr:colOff>82913</xdr:colOff>
      <xdr:row>134</xdr:row>
      <xdr:rowOff>133350</xdr:rowOff>
    </xdr:to>
    <xdr:sp macro="" textlink="">
      <xdr:nvSpPr>
        <xdr:cNvPr id="78966" name="131"/>
        <xdr:cNvSpPr/>
      </xdr:nvSpPr>
      <xdr:spPr>
        <a:xfrm>
          <a:off x="10700657" y="20650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134</xdr:row>
      <xdr:rowOff>76200</xdr:rowOff>
    </xdr:from>
    <xdr:to>
      <xdr:col>36</xdr:col>
      <xdr:colOff>81643</xdr:colOff>
      <xdr:row>134</xdr:row>
      <xdr:rowOff>76200</xdr:rowOff>
    </xdr:to>
    <xdr:cxnSp macro="">
      <xdr:nvCxnSpPr>
        <xdr:cNvPr id="78967" name="직선 화살표 연결선 78966"/>
        <xdr:cNvCxnSpPr/>
      </xdr:nvCxnSpPr>
      <xdr:spPr>
        <a:xfrm>
          <a:off x="10700657" y="20707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133</xdr:row>
      <xdr:rowOff>19050</xdr:rowOff>
    </xdr:from>
    <xdr:to>
      <xdr:col>36</xdr:col>
      <xdr:colOff>82913</xdr:colOff>
      <xdr:row>133</xdr:row>
      <xdr:rowOff>133350</xdr:rowOff>
    </xdr:to>
    <xdr:sp macro="" textlink="">
      <xdr:nvSpPr>
        <xdr:cNvPr id="78968" name="130"/>
        <xdr:cNvSpPr/>
      </xdr:nvSpPr>
      <xdr:spPr>
        <a:xfrm>
          <a:off x="10700657" y="204978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133</xdr:row>
      <xdr:rowOff>76200</xdr:rowOff>
    </xdr:from>
    <xdr:to>
      <xdr:col>36</xdr:col>
      <xdr:colOff>81643</xdr:colOff>
      <xdr:row>133</xdr:row>
      <xdr:rowOff>76200</xdr:rowOff>
    </xdr:to>
    <xdr:cxnSp macro="">
      <xdr:nvCxnSpPr>
        <xdr:cNvPr id="78969" name="직선 화살표 연결선 78968"/>
        <xdr:cNvCxnSpPr/>
      </xdr:nvCxnSpPr>
      <xdr:spPr>
        <a:xfrm>
          <a:off x="10700657" y="20554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132</xdr:row>
      <xdr:rowOff>19050</xdr:rowOff>
    </xdr:from>
    <xdr:to>
      <xdr:col>36</xdr:col>
      <xdr:colOff>82913</xdr:colOff>
      <xdr:row>132</xdr:row>
      <xdr:rowOff>133350</xdr:rowOff>
    </xdr:to>
    <xdr:sp macro="" textlink="">
      <xdr:nvSpPr>
        <xdr:cNvPr id="78970" name="129"/>
        <xdr:cNvSpPr/>
      </xdr:nvSpPr>
      <xdr:spPr>
        <a:xfrm>
          <a:off x="10700657" y="203454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132</xdr:row>
      <xdr:rowOff>76200</xdr:rowOff>
    </xdr:from>
    <xdr:to>
      <xdr:col>36</xdr:col>
      <xdr:colOff>81643</xdr:colOff>
      <xdr:row>132</xdr:row>
      <xdr:rowOff>76200</xdr:rowOff>
    </xdr:to>
    <xdr:cxnSp macro="">
      <xdr:nvCxnSpPr>
        <xdr:cNvPr id="78971" name="직선 화살표 연결선 78970"/>
        <xdr:cNvCxnSpPr/>
      </xdr:nvCxnSpPr>
      <xdr:spPr>
        <a:xfrm>
          <a:off x="10700657" y="20402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131</xdr:row>
      <xdr:rowOff>19050</xdr:rowOff>
    </xdr:from>
    <xdr:to>
      <xdr:col>42</xdr:col>
      <xdr:colOff>42091</xdr:colOff>
      <xdr:row>131</xdr:row>
      <xdr:rowOff>133350</xdr:rowOff>
    </xdr:to>
    <xdr:sp macro="" textlink="">
      <xdr:nvSpPr>
        <xdr:cNvPr id="78972" name="128"/>
        <xdr:cNvSpPr/>
      </xdr:nvSpPr>
      <xdr:spPr>
        <a:xfrm>
          <a:off x="10700657" y="20193000"/>
          <a:ext cx="11238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131</xdr:row>
      <xdr:rowOff>76200</xdr:rowOff>
    </xdr:from>
    <xdr:to>
      <xdr:col>42</xdr:col>
      <xdr:colOff>40822</xdr:colOff>
      <xdr:row>131</xdr:row>
      <xdr:rowOff>76200</xdr:rowOff>
    </xdr:to>
    <xdr:cxnSp macro="">
      <xdr:nvCxnSpPr>
        <xdr:cNvPr id="78973" name="직선 화살표 연결선 78972"/>
        <xdr:cNvCxnSpPr/>
      </xdr:nvCxnSpPr>
      <xdr:spPr>
        <a:xfrm>
          <a:off x="10700657" y="20250150"/>
          <a:ext cx="11225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130</xdr:row>
      <xdr:rowOff>19050</xdr:rowOff>
    </xdr:from>
    <xdr:to>
      <xdr:col>36</xdr:col>
      <xdr:colOff>82913</xdr:colOff>
      <xdr:row>130</xdr:row>
      <xdr:rowOff>133350</xdr:rowOff>
    </xdr:to>
    <xdr:sp macro="" textlink="">
      <xdr:nvSpPr>
        <xdr:cNvPr id="78974" name="127"/>
        <xdr:cNvSpPr/>
      </xdr:nvSpPr>
      <xdr:spPr>
        <a:xfrm>
          <a:off x="10700657" y="20040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130</xdr:row>
      <xdr:rowOff>76200</xdr:rowOff>
    </xdr:from>
    <xdr:to>
      <xdr:col>36</xdr:col>
      <xdr:colOff>81643</xdr:colOff>
      <xdr:row>130</xdr:row>
      <xdr:rowOff>76200</xdr:rowOff>
    </xdr:to>
    <xdr:cxnSp macro="">
      <xdr:nvCxnSpPr>
        <xdr:cNvPr id="78975" name="직선 화살표 연결선 78974"/>
        <xdr:cNvCxnSpPr/>
      </xdr:nvCxnSpPr>
      <xdr:spPr>
        <a:xfrm>
          <a:off x="10700657" y="20097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129</xdr:row>
      <xdr:rowOff>19050</xdr:rowOff>
    </xdr:from>
    <xdr:to>
      <xdr:col>36</xdr:col>
      <xdr:colOff>82913</xdr:colOff>
      <xdr:row>129</xdr:row>
      <xdr:rowOff>133350</xdr:rowOff>
    </xdr:to>
    <xdr:sp macro="" textlink="">
      <xdr:nvSpPr>
        <xdr:cNvPr id="78976" name="126"/>
        <xdr:cNvSpPr/>
      </xdr:nvSpPr>
      <xdr:spPr>
        <a:xfrm>
          <a:off x="10700657" y="19888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129</xdr:row>
      <xdr:rowOff>76200</xdr:rowOff>
    </xdr:from>
    <xdr:to>
      <xdr:col>36</xdr:col>
      <xdr:colOff>81643</xdr:colOff>
      <xdr:row>129</xdr:row>
      <xdr:rowOff>76200</xdr:rowOff>
    </xdr:to>
    <xdr:cxnSp macro="">
      <xdr:nvCxnSpPr>
        <xdr:cNvPr id="78977" name="직선 화살표 연결선 78976"/>
        <xdr:cNvCxnSpPr/>
      </xdr:nvCxnSpPr>
      <xdr:spPr>
        <a:xfrm>
          <a:off x="10700657" y="19945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128</xdr:row>
      <xdr:rowOff>19050</xdr:rowOff>
    </xdr:from>
    <xdr:to>
      <xdr:col>36</xdr:col>
      <xdr:colOff>82913</xdr:colOff>
      <xdr:row>128</xdr:row>
      <xdr:rowOff>133350</xdr:rowOff>
    </xdr:to>
    <xdr:sp macro="" textlink="">
      <xdr:nvSpPr>
        <xdr:cNvPr id="78978" name="125"/>
        <xdr:cNvSpPr/>
      </xdr:nvSpPr>
      <xdr:spPr>
        <a:xfrm>
          <a:off x="10700657" y="197358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128</xdr:row>
      <xdr:rowOff>76200</xdr:rowOff>
    </xdr:from>
    <xdr:to>
      <xdr:col>36</xdr:col>
      <xdr:colOff>81643</xdr:colOff>
      <xdr:row>128</xdr:row>
      <xdr:rowOff>76200</xdr:rowOff>
    </xdr:to>
    <xdr:cxnSp macro="">
      <xdr:nvCxnSpPr>
        <xdr:cNvPr id="78979" name="직선 화살표 연결선 78978"/>
        <xdr:cNvCxnSpPr/>
      </xdr:nvCxnSpPr>
      <xdr:spPr>
        <a:xfrm>
          <a:off x="10700657" y="19792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127</xdr:row>
      <xdr:rowOff>19050</xdr:rowOff>
    </xdr:from>
    <xdr:to>
      <xdr:col>42</xdr:col>
      <xdr:colOff>42091</xdr:colOff>
      <xdr:row>127</xdr:row>
      <xdr:rowOff>133350</xdr:rowOff>
    </xdr:to>
    <xdr:sp macro="" textlink="">
      <xdr:nvSpPr>
        <xdr:cNvPr id="78980" name="124"/>
        <xdr:cNvSpPr/>
      </xdr:nvSpPr>
      <xdr:spPr>
        <a:xfrm>
          <a:off x="10700657" y="19583400"/>
          <a:ext cx="11238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127</xdr:row>
      <xdr:rowOff>76200</xdr:rowOff>
    </xdr:from>
    <xdr:to>
      <xdr:col>42</xdr:col>
      <xdr:colOff>40822</xdr:colOff>
      <xdr:row>127</xdr:row>
      <xdr:rowOff>76200</xdr:rowOff>
    </xdr:to>
    <xdr:cxnSp macro="">
      <xdr:nvCxnSpPr>
        <xdr:cNvPr id="78981" name="직선 화살표 연결선 78980"/>
        <xdr:cNvCxnSpPr/>
      </xdr:nvCxnSpPr>
      <xdr:spPr>
        <a:xfrm>
          <a:off x="10700657" y="19640550"/>
          <a:ext cx="11225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126</xdr:row>
      <xdr:rowOff>19050</xdr:rowOff>
    </xdr:from>
    <xdr:to>
      <xdr:col>42</xdr:col>
      <xdr:colOff>42091</xdr:colOff>
      <xdr:row>126</xdr:row>
      <xdr:rowOff>133350</xdr:rowOff>
    </xdr:to>
    <xdr:sp macro="" textlink="">
      <xdr:nvSpPr>
        <xdr:cNvPr id="78982" name="123"/>
        <xdr:cNvSpPr/>
      </xdr:nvSpPr>
      <xdr:spPr>
        <a:xfrm>
          <a:off x="10986407" y="19431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126</xdr:row>
      <xdr:rowOff>76200</xdr:rowOff>
    </xdr:from>
    <xdr:to>
      <xdr:col>42</xdr:col>
      <xdr:colOff>40822</xdr:colOff>
      <xdr:row>126</xdr:row>
      <xdr:rowOff>76200</xdr:rowOff>
    </xdr:to>
    <xdr:cxnSp macro="">
      <xdr:nvCxnSpPr>
        <xdr:cNvPr id="78983" name="직선 화살표 연결선 78982"/>
        <xdr:cNvCxnSpPr/>
      </xdr:nvCxnSpPr>
      <xdr:spPr>
        <a:xfrm>
          <a:off x="10986407" y="19488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125</xdr:row>
      <xdr:rowOff>19050</xdr:rowOff>
    </xdr:from>
    <xdr:to>
      <xdr:col>42</xdr:col>
      <xdr:colOff>42091</xdr:colOff>
      <xdr:row>125</xdr:row>
      <xdr:rowOff>133350</xdr:rowOff>
    </xdr:to>
    <xdr:sp macro="" textlink="">
      <xdr:nvSpPr>
        <xdr:cNvPr id="78984" name="122"/>
        <xdr:cNvSpPr/>
      </xdr:nvSpPr>
      <xdr:spPr>
        <a:xfrm>
          <a:off x="10986407" y="19278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125</xdr:row>
      <xdr:rowOff>76200</xdr:rowOff>
    </xdr:from>
    <xdr:to>
      <xdr:col>42</xdr:col>
      <xdr:colOff>40822</xdr:colOff>
      <xdr:row>125</xdr:row>
      <xdr:rowOff>76200</xdr:rowOff>
    </xdr:to>
    <xdr:cxnSp macro="">
      <xdr:nvCxnSpPr>
        <xdr:cNvPr id="78985" name="직선 화살표 연결선 78984"/>
        <xdr:cNvCxnSpPr/>
      </xdr:nvCxnSpPr>
      <xdr:spPr>
        <a:xfrm>
          <a:off x="10986407" y="19335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124</xdr:row>
      <xdr:rowOff>19050</xdr:rowOff>
    </xdr:from>
    <xdr:to>
      <xdr:col>42</xdr:col>
      <xdr:colOff>42091</xdr:colOff>
      <xdr:row>124</xdr:row>
      <xdr:rowOff>133350</xdr:rowOff>
    </xdr:to>
    <xdr:sp macro="" textlink="">
      <xdr:nvSpPr>
        <xdr:cNvPr id="78986" name="121"/>
        <xdr:cNvSpPr/>
      </xdr:nvSpPr>
      <xdr:spPr>
        <a:xfrm>
          <a:off x="10986407" y="19126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124</xdr:row>
      <xdr:rowOff>76200</xdr:rowOff>
    </xdr:from>
    <xdr:to>
      <xdr:col>42</xdr:col>
      <xdr:colOff>40822</xdr:colOff>
      <xdr:row>124</xdr:row>
      <xdr:rowOff>76200</xdr:rowOff>
    </xdr:to>
    <xdr:cxnSp macro="">
      <xdr:nvCxnSpPr>
        <xdr:cNvPr id="78987" name="직선 화살표 연결선 78986"/>
        <xdr:cNvCxnSpPr/>
      </xdr:nvCxnSpPr>
      <xdr:spPr>
        <a:xfrm>
          <a:off x="10986407" y="19183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123</xdr:row>
      <xdr:rowOff>19050</xdr:rowOff>
    </xdr:from>
    <xdr:to>
      <xdr:col>42</xdr:col>
      <xdr:colOff>42091</xdr:colOff>
      <xdr:row>123</xdr:row>
      <xdr:rowOff>133350</xdr:rowOff>
    </xdr:to>
    <xdr:sp macro="" textlink="">
      <xdr:nvSpPr>
        <xdr:cNvPr id="78988" name="120"/>
        <xdr:cNvSpPr/>
      </xdr:nvSpPr>
      <xdr:spPr>
        <a:xfrm>
          <a:off x="10986407" y="189738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123</xdr:row>
      <xdr:rowOff>76200</xdr:rowOff>
    </xdr:from>
    <xdr:to>
      <xdr:col>42</xdr:col>
      <xdr:colOff>40822</xdr:colOff>
      <xdr:row>123</xdr:row>
      <xdr:rowOff>76200</xdr:rowOff>
    </xdr:to>
    <xdr:cxnSp macro="">
      <xdr:nvCxnSpPr>
        <xdr:cNvPr id="78989" name="직선 화살표 연결선 78988"/>
        <xdr:cNvCxnSpPr/>
      </xdr:nvCxnSpPr>
      <xdr:spPr>
        <a:xfrm>
          <a:off x="10986407" y="19030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122</xdr:row>
      <xdr:rowOff>19050</xdr:rowOff>
    </xdr:from>
    <xdr:to>
      <xdr:col>42</xdr:col>
      <xdr:colOff>42091</xdr:colOff>
      <xdr:row>122</xdr:row>
      <xdr:rowOff>133350</xdr:rowOff>
    </xdr:to>
    <xdr:sp macro="" textlink="">
      <xdr:nvSpPr>
        <xdr:cNvPr id="78990" name="119"/>
        <xdr:cNvSpPr/>
      </xdr:nvSpPr>
      <xdr:spPr>
        <a:xfrm>
          <a:off x="10986407" y="18821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122</xdr:row>
      <xdr:rowOff>76200</xdr:rowOff>
    </xdr:from>
    <xdr:to>
      <xdr:col>42</xdr:col>
      <xdr:colOff>40822</xdr:colOff>
      <xdr:row>122</xdr:row>
      <xdr:rowOff>76200</xdr:rowOff>
    </xdr:to>
    <xdr:cxnSp macro="">
      <xdr:nvCxnSpPr>
        <xdr:cNvPr id="78991" name="직선 화살표 연결선 78990"/>
        <xdr:cNvCxnSpPr/>
      </xdr:nvCxnSpPr>
      <xdr:spPr>
        <a:xfrm>
          <a:off x="10986407" y="18878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121</xdr:row>
      <xdr:rowOff>19050</xdr:rowOff>
    </xdr:from>
    <xdr:to>
      <xdr:col>42</xdr:col>
      <xdr:colOff>42091</xdr:colOff>
      <xdr:row>121</xdr:row>
      <xdr:rowOff>133350</xdr:rowOff>
    </xdr:to>
    <xdr:sp macro="" textlink="">
      <xdr:nvSpPr>
        <xdr:cNvPr id="78992" name="118"/>
        <xdr:cNvSpPr/>
      </xdr:nvSpPr>
      <xdr:spPr>
        <a:xfrm>
          <a:off x="10986407" y="18669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121</xdr:row>
      <xdr:rowOff>76200</xdr:rowOff>
    </xdr:from>
    <xdr:to>
      <xdr:col>42</xdr:col>
      <xdr:colOff>40822</xdr:colOff>
      <xdr:row>121</xdr:row>
      <xdr:rowOff>76200</xdr:rowOff>
    </xdr:to>
    <xdr:cxnSp macro="">
      <xdr:nvCxnSpPr>
        <xdr:cNvPr id="78993" name="직선 화살표 연결선 78992"/>
        <xdr:cNvCxnSpPr/>
      </xdr:nvCxnSpPr>
      <xdr:spPr>
        <a:xfrm>
          <a:off x="10986407" y="18726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120</xdr:row>
      <xdr:rowOff>19050</xdr:rowOff>
    </xdr:from>
    <xdr:to>
      <xdr:col>42</xdr:col>
      <xdr:colOff>42091</xdr:colOff>
      <xdr:row>120</xdr:row>
      <xdr:rowOff>133350</xdr:rowOff>
    </xdr:to>
    <xdr:sp macro="" textlink="">
      <xdr:nvSpPr>
        <xdr:cNvPr id="78994" name="117"/>
        <xdr:cNvSpPr/>
      </xdr:nvSpPr>
      <xdr:spPr>
        <a:xfrm>
          <a:off x="10986407" y="18516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120</xdr:row>
      <xdr:rowOff>76200</xdr:rowOff>
    </xdr:from>
    <xdr:to>
      <xdr:col>42</xdr:col>
      <xdr:colOff>40822</xdr:colOff>
      <xdr:row>120</xdr:row>
      <xdr:rowOff>76200</xdr:rowOff>
    </xdr:to>
    <xdr:cxnSp macro="">
      <xdr:nvCxnSpPr>
        <xdr:cNvPr id="78995" name="직선 화살표 연결선 78994"/>
        <xdr:cNvCxnSpPr/>
      </xdr:nvCxnSpPr>
      <xdr:spPr>
        <a:xfrm>
          <a:off x="10986407" y="18573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119</xdr:row>
      <xdr:rowOff>19050</xdr:rowOff>
    </xdr:from>
    <xdr:to>
      <xdr:col>42</xdr:col>
      <xdr:colOff>42091</xdr:colOff>
      <xdr:row>119</xdr:row>
      <xdr:rowOff>133350</xdr:rowOff>
    </xdr:to>
    <xdr:sp macro="" textlink="">
      <xdr:nvSpPr>
        <xdr:cNvPr id="78996" name="116"/>
        <xdr:cNvSpPr/>
      </xdr:nvSpPr>
      <xdr:spPr>
        <a:xfrm>
          <a:off x="10986407" y="183642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119</xdr:row>
      <xdr:rowOff>76200</xdr:rowOff>
    </xdr:from>
    <xdr:to>
      <xdr:col>42</xdr:col>
      <xdr:colOff>40822</xdr:colOff>
      <xdr:row>119</xdr:row>
      <xdr:rowOff>76200</xdr:rowOff>
    </xdr:to>
    <xdr:cxnSp macro="">
      <xdr:nvCxnSpPr>
        <xdr:cNvPr id="78997" name="직선 화살표 연결선 78996"/>
        <xdr:cNvCxnSpPr/>
      </xdr:nvCxnSpPr>
      <xdr:spPr>
        <a:xfrm>
          <a:off x="10986407" y="18421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118</xdr:row>
      <xdr:rowOff>19050</xdr:rowOff>
    </xdr:from>
    <xdr:to>
      <xdr:col>42</xdr:col>
      <xdr:colOff>42091</xdr:colOff>
      <xdr:row>118</xdr:row>
      <xdr:rowOff>133350</xdr:rowOff>
    </xdr:to>
    <xdr:sp macro="" textlink="">
      <xdr:nvSpPr>
        <xdr:cNvPr id="78998" name="115"/>
        <xdr:cNvSpPr/>
      </xdr:nvSpPr>
      <xdr:spPr>
        <a:xfrm>
          <a:off x="10986407" y="18211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118</xdr:row>
      <xdr:rowOff>76200</xdr:rowOff>
    </xdr:from>
    <xdr:to>
      <xdr:col>42</xdr:col>
      <xdr:colOff>40822</xdr:colOff>
      <xdr:row>118</xdr:row>
      <xdr:rowOff>76200</xdr:rowOff>
    </xdr:to>
    <xdr:cxnSp macro="">
      <xdr:nvCxnSpPr>
        <xdr:cNvPr id="78999" name="직선 화살표 연결선 78998"/>
        <xdr:cNvCxnSpPr/>
      </xdr:nvCxnSpPr>
      <xdr:spPr>
        <a:xfrm>
          <a:off x="10986407" y="18268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117</xdr:row>
      <xdr:rowOff>19050</xdr:rowOff>
    </xdr:from>
    <xdr:to>
      <xdr:col>42</xdr:col>
      <xdr:colOff>42091</xdr:colOff>
      <xdr:row>117</xdr:row>
      <xdr:rowOff>133350</xdr:rowOff>
    </xdr:to>
    <xdr:sp macro="" textlink="">
      <xdr:nvSpPr>
        <xdr:cNvPr id="79000" name="114"/>
        <xdr:cNvSpPr/>
      </xdr:nvSpPr>
      <xdr:spPr>
        <a:xfrm>
          <a:off x="10986407" y="18059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117</xdr:row>
      <xdr:rowOff>76200</xdr:rowOff>
    </xdr:from>
    <xdr:to>
      <xdr:col>42</xdr:col>
      <xdr:colOff>40822</xdr:colOff>
      <xdr:row>117</xdr:row>
      <xdr:rowOff>76200</xdr:rowOff>
    </xdr:to>
    <xdr:cxnSp macro="">
      <xdr:nvCxnSpPr>
        <xdr:cNvPr id="79001" name="직선 화살표 연결선 79000"/>
        <xdr:cNvCxnSpPr/>
      </xdr:nvCxnSpPr>
      <xdr:spPr>
        <a:xfrm>
          <a:off x="10986407" y="18116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116</xdr:row>
      <xdr:rowOff>19050</xdr:rowOff>
    </xdr:from>
    <xdr:to>
      <xdr:col>42</xdr:col>
      <xdr:colOff>42091</xdr:colOff>
      <xdr:row>116</xdr:row>
      <xdr:rowOff>133350</xdr:rowOff>
    </xdr:to>
    <xdr:sp macro="" textlink="">
      <xdr:nvSpPr>
        <xdr:cNvPr id="79002" name="113"/>
        <xdr:cNvSpPr/>
      </xdr:nvSpPr>
      <xdr:spPr>
        <a:xfrm>
          <a:off x="10986407" y="17907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116</xdr:row>
      <xdr:rowOff>76200</xdr:rowOff>
    </xdr:from>
    <xdr:to>
      <xdr:col>42</xdr:col>
      <xdr:colOff>40822</xdr:colOff>
      <xdr:row>116</xdr:row>
      <xdr:rowOff>76200</xdr:rowOff>
    </xdr:to>
    <xdr:cxnSp macro="">
      <xdr:nvCxnSpPr>
        <xdr:cNvPr id="79003" name="직선 화살표 연결선 79002"/>
        <xdr:cNvCxnSpPr/>
      </xdr:nvCxnSpPr>
      <xdr:spPr>
        <a:xfrm>
          <a:off x="10986407" y="17964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115</xdr:row>
      <xdr:rowOff>19050</xdr:rowOff>
    </xdr:from>
    <xdr:to>
      <xdr:col>42</xdr:col>
      <xdr:colOff>42091</xdr:colOff>
      <xdr:row>115</xdr:row>
      <xdr:rowOff>133350</xdr:rowOff>
    </xdr:to>
    <xdr:sp macro="" textlink="">
      <xdr:nvSpPr>
        <xdr:cNvPr id="79004" name="112"/>
        <xdr:cNvSpPr/>
      </xdr:nvSpPr>
      <xdr:spPr>
        <a:xfrm>
          <a:off x="10986407" y="17754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115</xdr:row>
      <xdr:rowOff>76200</xdr:rowOff>
    </xdr:from>
    <xdr:to>
      <xdr:col>42</xdr:col>
      <xdr:colOff>40822</xdr:colOff>
      <xdr:row>115</xdr:row>
      <xdr:rowOff>76200</xdr:rowOff>
    </xdr:to>
    <xdr:cxnSp macro="">
      <xdr:nvCxnSpPr>
        <xdr:cNvPr id="79005" name="직선 화살표 연결선 79004"/>
        <xdr:cNvCxnSpPr/>
      </xdr:nvCxnSpPr>
      <xdr:spPr>
        <a:xfrm>
          <a:off x="10986407" y="17811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114</xdr:row>
      <xdr:rowOff>19050</xdr:rowOff>
    </xdr:from>
    <xdr:to>
      <xdr:col>42</xdr:col>
      <xdr:colOff>42091</xdr:colOff>
      <xdr:row>114</xdr:row>
      <xdr:rowOff>133350</xdr:rowOff>
    </xdr:to>
    <xdr:sp macro="" textlink="">
      <xdr:nvSpPr>
        <xdr:cNvPr id="79006" name="111"/>
        <xdr:cNvSpPr/>
      </xdr:nvSpPr>
      <xdr:spPr>
        <a:xfrm>
          <a:off x="10986407" y="17602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114</xdr:row>
      <xdr:rowOff>76200</xdr:rowOff>
    </xdr:from>
    <xdr:to>
      <xdr:col>42</xdr:col>
      <xdr:colOff>40822</xdr:colOff>
      <xdr:row>114</xdr:row>
      <xdr:rowOff>76200</xdr:rowOff>
    </xdr:to>
    <xdr:cxnSp macro="">
      <xdr:nvCxnSpPr>
        <xdr:cNvPr id="79007" name="직선 화살표 연결선 79006"/>
        <xdr:cNvCxnSpPr/>
      </xdr:nvCxnSpPr>
      <xdr:spPr>
        <a:xfrm>
          <a:off x="10986407" y="17659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113</xdr:row>
      <xdr:rowOff>19050</xdr:rowOff>
    </xdr:from>
    <xdr:to>
      <xdr:col>42</xdr:col>
      <xdr:colOff>42091</xdr:colOff>
      <xdr:row>113</xdr:row>
      <xdr:rowOff>133350</xdr:rowOff>
    </xdr:to>
    <xdr:sp macro="" textlink="">
      <xdr:nvSpPr>
        <xdr:cNvPr id="79008" name="110"/>
        <xdr:cNvSpPr/>
      </xdr:nvSpPr>
      <xdr:spPr>
        <a:xfrm>
          <a:off x="10986407" y="17449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113</xdr:row>
      <xdr:rowOff>76200</xdr:rowOff>
    </xdr:from>
    <xdr:to>
      <xdr:col>42</xdr:col>
      <xdr:colOff>40822</xdr:colOff>
      <xdr:row>113</xdr:row>
      <xdr:rowOff>76200</xdr:rowOff>
    </xdr:to>
    <xdr:cxnSp macro="">
      <xdr:nvCxnSpPr>
        <xdr:cNvPr id="79009" name="직선 화살표 연결선 79008"/>
        <xdr:cNvCxnSpPr/>
      </xdr:nvCxnSpPr>
      <xdr:spPr>
        <a:xfrm>
          <a:off x="10986407" y="17506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112</xdr:row>
      <xdr:rowOff>19050</xdr:rowOff>
    </xdr:from>
    <xdr:to>
      <xdr:col>42</xdr:col>
      <xdr:colOff>42091</xdr:colOff>
      <xdr:row>112</xdr:row>
      <xdr:rowOff>133350</xdr:rowOff>
    </xdr:to>
    <xdr:sp macro="" textlink="">
      <xdr:nvSpPr>
        <xdr:cNvPr id="79010" name="109"/>
        <xdr:cNvSpPr/>
      </xdr:nvSpPr>
      <xdr:spPr>
        <a:xfrm>
          <a:off x="10986407" y="172974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112</xdr:row>
      <xdr:rowOff>76200</xdr:rowOff>
    </xdr:from>
    <xdr:to>
      <xdr:col>42</xdr:col>
      <xdr:colOff>40822</xdr:colOff>
      <xdr:row>112</xdr:row>
      <xdr:rowOff>76200</xdr:rowOff>
    </xdr:to>
    <xdr:cxnSp macro="">
      <xdr:nvCxnSpPr>
        <xdr:cNvPr id="79011" name="직선 화살표 연결선 79010"/>
        <xdr:cNvCxnSpPr/>
      </xdr:nvCxnSpPr>
      <xdr:spPr>
        <a:xfrm>
          <a:off x="10986407" y="17354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111</xdr:row>
      <xdr:rowOff>19050</xdr:rowOff>
    </xdr:from>
    <xdr:to>
      <xdr:col>42</xdr:col>
      <xdr:colOff>42091</xdr:colOff>
      <xdr:row>111</xdr:row>
      <xdr:rowOff>133350</xdr:rowOff>
    </xdr:to>
    <xdr:sp macro="" textlink="">
      <xdr:nvSpPr>
        <xdr:cNvPr id="79012" name="108"/>
        <xdr:cNvSpPr/>
      </xdr:nvSpPr>
      <xdr:spPr>
        <a:xfrm>
          <a:off x="10986407" y="17145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111</xdr:row>
      <xdr:rowOff>76200</xdr:rowOff>
    </xdr:from>
    <xdr:to>
      <xdr:col>42</xdr:col>
      <xdr:colOff>40822</xdr:colOff>
      <xdr:row>111</xdr:row>
      <xdr:rowOff>76200</xdr:rowOff>
    </xdr:to>
    <xdr:cxnSp macro="">
      <xdr:nvCxnSpPr>
        <xdr:cNvPr id="79013" name="직선 화살표 연결선 79012"/>
        <xdr:cNvCxnSpPr/>
      </xdr:nvCxnSpPr>
      <xdr:spPr>
        <a:xfrm>
          <a:off x="10986407" y="17202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110</xdr:row>
      <xdr:rowOff>19050</xdr:rowOff>
    </xdr:from>
    <xdr:to>
      <xdr:col>42</xdr:col>
      <xdr:colOff>42091</xdr:colOff>
      <xdr:row>110</xdr:row>
      <xdr:rowOff>133350</xdr:rowOff>
    </xdr:to>
    <xdr:sp macro="" textlink="">
      <xdr:nvSpPr>
        <xdr:cNvPr id="79014" name="107"/>
        <xdr:cNvSpPr/>
      </xdr:nvSpPr>
      <xdr:spPr>
        <a:xfrm>
          <a:off x="10986407" y="16992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110</xdr:row>
      <xdr:rowOff>76200</xdr:rowOff>
    </xdr:from>
    <xdr:to>
      <xdr:col>42</xdr:col>
      <xdr:colOff>40822</xdr:colOff>
      <xdr:row>110</xdr:row>
      <xdr:rowOff>76200</xdr:rowOff>
    </xdr:to>
    <xdr:cxnSp macro="">
      <xdr:nvCxnSpPr>
        <xdr:cNvPr id="79015" name="직선 화살표 연결선 79014"/>
        <xdr:cNvCxnSpPr/>
      </xdr:nvCxnSpPr>
      <xdr:spPr>
        <a:xfrm>
          <a:off x="10986407" y="17049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109</xdr:row>
      <xdr:rowOff>19050</xdr:rowOff>
    </xdr:from>
    <xdr:to>
      <xdr:col>42</xdr:col>
      <xdr:colOff>42091</xdr:colOff>
      <xdr:row>109</xdr:row>
      <xdr:rowOff>133350</xdr:rowOff>
    </xdr:to>
    <xdr:sp macro="" textlink="">
      <xdr:nvSpPr>
        <xdr:cNvPr id="79016" name="106"/>
        <xdr:cNvSpPr/>
      </xdr:nvSpPr>
      <xdr:spPr>
        <a:xfrm>
          <a:off x="10986407" y="168402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109</xdr:row>
      <xdr:rowOff>76200</xdr:rowOff>
    </xdr:from>
    <xdr:to>
      <xdr:col>42</xdr:col>
      <xdr:colOff>40822</xdr:colOff>
      <xdr:row>109</xdr:row>
      <xdr:rowOff>76200</xdr:rowOff>
    </xdr:to>
    <xdr:cxnSp macro="">
      <xdr:nvCxnSpPr>
        <xdr:cNvPr id="79017" name="직선 화살표 연결선 79016"/>
        <xdr:cNvCxnSpPr/>
      </xdr:nvCxnSpPr>
      <xdr:spPr>
        <a:xfrm>
          <a:off x="10986407" y="16897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108</xdr:row>
      <xdr:rowOff>19050</xdr:rowOff>
    </xdr:from>
    <xdr:to>
      <xdr:col>42</xdr:col>
      <xdr:colOff>42091</xdr:colOff>
      <xdr:row>108</xdr:row>
      <xdr:rowOff>133350</xdr:rowOff>
    </xdr:to>
    <xdr:sp macro="" textlink="">
      <xdr:nvSpPr>
        <xdr:cNvPr id="79018" name="105"/>
        <xdr:cNvSpPr/>
      </xdr:nvSpPr>
      <xdr:spPr>
        <a:xfrm>
          <a:off x="10986407" y="16687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108</xdr:row>
      <xdr:rowOff>76200</xdr:rowOff>
    </xdr:from>
    <xdr:to>
      <xdr:col>42</xdr:col>
      <xdr:colOff>40822</xdr:colOff>
      <xdr:row>108</xdr:row>
      <xdr:rowOff>76200</xdr:rowOff>
    </xdr:to>
    <xdr:cxnSp macro="">
      <xdr:nvCxnSpPr>
        <xdr:cNvPr id="79019" name="직선 화살표 연결선 79018"/>
        <xdr:cNvCxnSpPr/>
      </xdr:nvCxnSpPr>
      <xdr:spPr>
        <a:xfrm>
          <a:off x="10986407" y="16744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107</xdr:row>
      <xdr:rowOff>19050</xdr:rowOff>
    </xdr:from>
    <xdr:to>
      <xdr:col>42</xdr:col>
      <xdr:colOff>42091</xdr:colOff>
      <xdr:row>107</xdr:row>
      <xdr:rowOff>133350</xdr:rowOff>
    </xdr:to>
    <xdr:sp macro="" textlink="">
      <xdr:nvSpPr>
        <xdr:cNvPr id="79020" name="104"/>
        <xdr:cNvSpPr/>
      </xdr:nvSpPr>
      <xdr:spPr>
        <a:xfrm>
          <a:off x="10986407" y="16535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107</xdr:row>
      <xdr:rowOff>76200</xdr:rowOff>
    </xdr:from>
    <xdr:to>
      <xdr:col>42</xdr:col>
      <xdr:colOff>40822</xdr:colOff>
      <xdr:row>107</xdr:row>
      <xdr:rowOff>76200</xdr:rowOff>
    </xdr:to>
    <xdr:cxnSp macro="">
      <xdr:nvCxnSpPr>
        <xdr:cNvPr id="79021" name="직선 화살표 연결선 79020"/>
        <xdr:cNvCxnSpPr/>
      </xdr:nvCxnSpPr>
      <xdr:spPr>
        <a:xfrm>
          <a:off x="10986407" y="16592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106</xdr:row>
      <xdr:rowOff>19050</xdr:rowOff>
    </xdr:from>
    <xdr:to>
      <xdr:col>42</xdr:col>
      <xdr:colOff>42091</xdr:colOff>
      <xdr:row>106</xdr:row>
      <xdr:rowOff>133350</xdr:rowOff>
    </xdr:to>
    <xdr:sp macro="" textlink="">
      <xdr:nvSpPr>
        <xdr:cNvPr id="79022" name="103"/>
        <xdr:cNvSpPr/>
      </xdr:nvSpPr>
      <xdr:spPr>
        <a:xfrm>
          <a:off x="10986407" y="163830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106</xdr:row>
      <xdr:rowOff>76200</xdr:rowOff>
    </xdr:from>
    <xdr:to>
      <xdr:col>42</xdr:col>
      <xdr:colOff>40822</xdr:colOff>
      <xdr:row>106</xdr:row>
      <xdr:rowOff>76200</xdr:rowOff>
    </xdr:to>
    <xdr:cxnSp macro="">
      <xdr:nvCxnSpPr>
        <xdr:cNvPr id="79023" name="직선 화살표 연결선 79022"/>
        <xdr:cNvCxnSpPr/>
      </xdr:nvCxnSpPr>
      <xdr:spPr>
        <a:xfrm>
          <a:off x="10986407" y="16440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105</xdr:row>
      <xdr:rowOff>19050</xdr:rowOff>
    </xdr:from>
    <xdr:to>
      <xdr:col>42</xdr:col>
      <xdr:colOff>42091</xdr:colOff>
      <xdr:row>105</xdr:row>
      <xdr:rowOff>133350</xdr:rowOff>
    </xdr:to>
    <xdr:sp macro="" textlink="">
      <xdr:nvSpPr>
        <xdr:cNvPr id="79024" name="102"/>
        <xdr:cNvSpPr/>
      </xdr:nvSpPr>
      <xdr:spPr>
        <a:xfrm>
          <a:off x="10986407" y="16230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105</xdr:row>
      <xdr:rowOff>76200</xdr:rowOff>
    </xdr:from>
    <xdr:to>
      <xdr:col>42</xdr:col>
      <xdr:colOff>40822</xdr:colOff>
      <xdr:row>105</xdr:row>
      <xdr:rowOff>76200</xdr:rowOff>
    </xdr:to>
    <xdr:cxnSp macro="">
      <xdr:nvCxnSpPr>
        <xdr:cNvPr id="79025" name="직선 화살표 연결선 79024"/>
        <xdr:cNvCxnSpPr/>
      </xdr:nvCxnSpPr>
      <xdr:spPr>
        <a:xfrm>
          <a:off x="10986407" y="16287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104</xdr:row>
      <xdr:rowOff>19050</xdr:rowOff>
    </xdr:from>
    <xdr:to>
      <xdr:col>42</xdr:col>
      <xdr:colOff>42091</xdr:colOff>
      <xdr:row>104</xdr:row>
      <xdr:rowOff>133350</xdr:rowOff>
    </xdr:to>
    <xdr:sp macro="" textlink="">
      <xdr:nvSpPr>
        <xdr:cNvPr id="79026" name="101"/>
        <xdr:cNvSpPr/>
      </xdr:nvSpPr>
      <xdr:spPr>
        <a:xfrm>
          <a:off x="10986407" y="16078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104</xdr:row>
      <xdr:rowOff>76200</xdr:rowOff>
    </xdr:from>
    <xdr:to>
      <xdr:col>42</xdr:col>
      <xdr:colOff>40822</xdr:colOff>
      <xdr:row>104</xdr:row>
      <xdr:rowOff>76200</xdr:rowOff>
    </xdr:to>
    <xdr:cxnSp macro="">
      <xdr:nvCxnSpPr>
        <xdr:cNvPr id="79027" name="직선 화살표 연결선 79026"/>
        <xdr:cNvCxnSpPr/>
      </xdr:nvCxnSpPr>
      <xdr:spPr>
        <a:xfrm>
          <a:off x="10986407" y="16135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103</xdr:row>
      <xdr:rowOff>19050</xdr:rowOff>
    </xdr:from>
    <xdr:to>
      <xdr:col>42</xdr:col>
      <xdr:colOff>42091</xdr:colOff>
      <xdr:row>103</xdr:row>
      <xdr:rowOff>133350</xdr:rowOff>
    </xdr:to>
    <xdr:sp macro="" textlink="">
      <xdr:nvSpPr>
        <xdr:cNvPr id="79028" name="100"/>
        <xdr:cNvSpPr/>
      </xdr:nvSpPr>
      <xdr:spPr>
        <a:xfrm>
          <a:off x="10986407" y="15925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103</xdr:row>
      <xdr:rowOff>76200</xdr:rowOff>
    </xdr:from>
    <xdr:to>
      <xdr:col>42</xdr:col>
      <xdr:colOff>40822</xdr:colOff>
      <xdr:row>103</xdr:row>
      <xdr:rowOff>76200</xdr:rowOff>
    </xdr:to>
    <xdr:cxnSp macro="">
      <xdr:nvCxnSpPr>
        <xdr:cNvPr id="79029" name="직선 화살표 연결선 79028"/>
        <xdr:cNvCxnSpPr/>
      </xdr:nvCxnSpPr>
      <xdr:spPr>
        <a:xfrm>
          <a:off x="10986407" y="15982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102</xdr:row>
      <xdr:rowOff>19050</xdr:rowOff>
    </xdr:from>
    <xdr:to>
      <xdr:col>42</xdr:col>
      <xdr:colOff>42091</xdr:colOff>
      <xdr:row>102</xdr:row>
      <xdr:rowOff>133350</xdr:rowOff>
    </xdr:to>
    <xdr:sp macro="" textlink="">
      <xdr:nvSpPr>
        <xdr:cNvPr id="79030" name="99"/>
        <xdr:cNvSpPr/>
      </xdr:nvSpPr>
      <xdr:spPr>
        <a:xfrm>
          <a:off x="10986407" y="15773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102</xdr:row>
      <xdr:rowOff>76200</xdr:rowOff>
    </xdr:from>
    <xdr:to>
      <xdr:col>42</xdr:col>
      <xdr:colOff>40822</xdr:colOff>
      <xdr:row>102</xdr:row>
      <xdr:rowOff>76200</xdr:rowOff>
    </xdr:to>
    <xdr:cxnSp macro="">
      <xdr:nvCxnSpPr>
        <xdr:cNvPr id="79031" name="직선 화살표 연결선 79030"/>
        <xdr:cNvCxnSpPr/>
      </xdr:nvCxnSpPr>
      <xdr:spPr>
        <a:xfrm>
          <a:off x="10986407" y="15830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101</xdr:row>
      <xdr:rowOff>19050</xdr:rowOff>
    </xdr:from>
    <xdr:to>
      <xdr:col>42</xdr:col>
      <xdr:colOff>42091</xdr:colOff>
      <xdr:row>101</xdr:row>
      <xdr:rowOff>133350</xdr:rowOff>
    </xdr:to>
    <xdr:sp macro="" textlink="">
      <xdr:nvSpPr>
        <xdr:cNvPr id="79032" name="98"/>
        <xdr:cNvSpPr/>
      </xdr:nvSpPr>
      <xdr:spPr>
        <a:xfrm>
          <a:off x="10986407" y="15621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101</xdr:row>
      <xdr:rowOff>76200</xdr:rowOff>
    </xdr:from>
    <xdr:to>
      <xdr:col>42</xdr:col>
      <xdr:colOff>40822</xdr:colOff>
      <xdr:row>101</xdr:row>
      <xdr:rowOff>76200</xdr:rowOff>
    </xdr:to>
    <xdr:cxnSp macro="">
      <xdr:nvCxnSpPr>
        <xdr:cNvPr id="79033" name="직선 화살표 연결선 79032"/>
        <xdr:cNvCxnSpPr/>
      </xdr:nvCxnSpPr>
      <xdr:spPr>
        <a:xfrm>
          <a:off x="10986407" y="15678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100</xdr:row>
      <xdr:rowOff>19050</xdr:rowOff>
    </xdr:from>
    <xdr:to>
      <xdr:col>42</xdr:col>
      <xdr:colOff>42091</xdr:colOff>
      <xdr:row>100</xdr:row>
      <xdr:rowOff>133350</xdr:rowOff>
    </xdr:to>
    <xdr:sp macro="" textlink="">
      <xdr:nvSpPr>
        <xdr:cNvPr id="79034" name="97"/>
        <xdr:cNvSpPr/>
      </xdr:nvSpPr>
      <xdr:spPr>
        <a:xfrm>
          <a:off x="10986407" y="154686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100</xdr:row>
      <xdr:rowOff>76200</xdr:rowOff>
    </xdr:from>
    <xdr:to>
      <xdr:col>42</xdr:col>
      <xdr:colOff>40822</xdr:colOff>
      <xdr:row>100</xdr:row>
      <xdr:rowOff>76200</xdr:rowOff>
    </xdr:to>
    <xdr:cxnSp macro="">
      <xdr:nvCxnSpPr>
        <xdr:cNvPr id="79035" name="직선 화살표 연결선 79034"/>
        <xdr:cNvCxnSpPr/>
      </xdr:nvCxnSpPr>
      <xdr:spPr>
        <a:xfrm>
          <a:off x="10986407" y="15525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99</xdr:row>
      <xdr:rowOff>19050</xdr:rowOff>
    </xdr:from>
    <xdr:to>
      <xdr:col>42</xdr:col>
      <xdr:colOff>42091</xdr:colOff>
      <xdr:row>99</xdr:row>
      <xdr:rowOff>133350</xdr:rowOff>
    </xdr:to>
    <xdr:sp macro="" textlink="">
      <xdr:nvSpPr>
        <xdr:cNvPr id="79036" name="96"/>
        <xdr:cNvSpPr/>
      </xdr:nvSpPr>
      <xdr:spPr>
        <a:xfrm>
          <a:off x="10986407" y="15316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99</xdr:row>
      <xdr:rowOff>76200</xdr:rowOff>
    </xdr:from>
    <xdr:to>
      <xdr:col>42</xdr:col>
      <xdr:colOff>40822</xdr:colOff>
      <xdr:row>99</xdr:row>
      <xdr:rowOff>76200</xdr:rowOff>
    </xdr:to>
    <xdr:cxnSp macro="">
      <xdr:nvCxnSpPr>
        <xdr:cNvPr id="79037" name="직선 화살표 연결선 79036"/>
        <xdr:cNvCxnSpPr/>
      </xdr:nvCxnSpPr>
      <xdr:spPr>
        <a:xfrm>
          <a:off x="10986407" y="15373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98</xdr:row>
      <xdr:rowOff>19050</xdr:rowOff>
    </xdr:from>
    <xdr:to>
      <xdr:col>42</xdr:col>
      <xdr:colOff>42091</xdr:colOff>
      <xdr:row>98</xdr:row>
      <xdr:rowOff>133350</xdr:rowOff>
    </xdr:to>
    <xdr:sp macro="" textlink="">
      <xdr:nvSpPr>
        <xdr:cNvPr id="79038" name="95"/>
        <xdr:cNvSpPr/>
      </xdr:nvSpPr>
      <xdr:spPr>
        <a:xfrm>
          <a:off x="10986407" y="15163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98</xdr:row>
      <xdr:rowOff>76200</xdr:rowOff>
    </xdr:from>
    <xdr:to>
      <xdr:col>42</xdr:col>
      <xdr:colOff>40822</xdr:colOff>
      <xdr:row>98</xdr:row>
      <xdr:rowOff>76200</xdr:rowOff>
    </xdr:to>
    <xdr:cxnSp macro="">
      <xdr:nvCxnSpPr>
        <xdr:cNvPr id="79039" name="직선 화살표 연결선 79038"/>
        <xdr:cNvCxnSpPr/>
      </xdr:nvCxnSpPr>
      <xdr:spPr>
        <a:xfrm>
          <a:off x="10986407" y="15220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97</xdr:row>
      <xdr:rowOff>19050</xdr:rowOff>
    </xdr:from>
    <xdr:to>
      <xdr:col>42</xdr:col>
      <xdr:colOff>42091</xdr:colOff>
      <xdr:row>97</xdr:row>
      <xdr:rowOff>133350</xdr:rowOff>
    </xdr:to>
    <xdr:sp macro="" textlink="">
      <xdr:nvSpPr>
        <xdr:cNvPr id="79040" name="94"/>
        <xdr:cNvSpPr/>
      </xdr:nvSpPr>
      <xdr:spPr>
        <a:xfrm>
          <a:off x="10986407" y="150114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97</xdr:row>
      <xdr:rowOff>76200</xdr:rowOff>
    </xdr:from>
    <xdr:to>
      <xdr:col>42</xdr:col>
      <xdr:colOff>40822</xdr:colOff>
      <xdr:row>97</xdr:row>
      <xdr:rowOff>76200</xdr:rowOff>
    </xdr:to>
    <xdr:cxnSp macro="">
      <xdr:nvCxnSpPr>
        <xdr:cNvPr id="79041" name="직선 화살표 연결선 79040"/>
        <xdr:cNvCxnSpPr/>
      </xdr:nvCxnSpPr>
      <xdr:spPr>
        <a:xfrm>
          <a:off x="10986407" y="15068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96</xdr:row>
      <xdr:rowOff>19050</xdr:rowOff>
    </xdr:from>
    <xdr:to>
      <xdr:col>42</xdr:col>
      <xdr:colOff>42091</xdr:colOff>
      <xdr:row>96</xdr:row>
      <xdr:rowOff>133350</xdr:rowOff>
    </xdr:to>
    <xdr:sp macro="" textlink="">
      <xdr:nvSpPr>
        <xdr:cNvPr id="79042" name="93"/>
        <xdr:cNvSpPr/>
      </xdr:nvSpPr>
      <xdr:spPr>
        <a:xfrm>
          <a:off x="10986407" y="14859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96</xdr:row>
      <xdr:rowOff>76200</xdr:rowOff>
    </xdr:from>
    <xdr:to>
      <xdr:col>42</xdr:col>
      <xdr:colOff>40822</xdr:colOff>
      <xdr:row>96</xdr:row>
      <xdr:rowOff>76200</xdr:rowOff>
    </xdr:to>
    <xdr:cxnSp macro="">
      <xdr:nvCxnSpPr>
        <xdr:cNvPr id="79043" name="직선 화살표 연결선 79042"/>
        <xdr:cNvCxnSpPr/>
      </xdr:nvCxnSpPr>
      <xdr:spPr>
        <a:xfrm>
          <a:off x="10986407" y="14916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95</xdr:row>
      <xdr:rowOff>19050</xdr:rowOff>
    </xdr:from>
    <xdr:to>
      <xdr:col>42</xdr:col>
      <xdr:colOff>42091</xdr:colOff>
      <xdr:row>95</xdr:row>
      <xdr:rowOff>133350</xdr:rowOff>
    </xdr:to>
    <xdr:sp macro="" textlink="">
      <xdr:nvSpPr>
        <xdr:cNvPr id="79044" name="92"/>
        <xdr:cNvSpPr/>
      </xdr:nvSpPr>
      <xdr:spPr>
        <a:xfrm>
          <a:off x="10986407" y="147066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95</xdr:row>
      <xdr:rowOff>76200</xdr:rowOff>
    </xdr:from>
    <xdr:to>
      <xdr:col>42</xdr:col>
      <xdr:colOff>40822</xdr:colOff>
      <xdr:row>95</xdr:row>
      <xdr:rowOff>76200</xdr:rowOff>
    </xdr:to>
    <xdr:cxnSp macro="">
      <xdr:nvCxnSpPr>
        <xdr:cNvPr id="79045" name="직선 화살표 연결선 79044"/>
        <xdr:cNvCxnSpPr/>
      </xdr:nvCxnSpPr>
      <xdr:spPr>
        <a:xfrm>
          <a:off x="10986407" y="147637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94</xdr:row>
      <xdr:rowOff>19050</xdr:rowOff>
    </xdr:from>
    <xdr:to>
      <xdr:col>42</xdr:col>
      <xdr:colOff>42091</xdr:colOff>
      <xdr:row>94</xdr:row>
      <xdr:rowOff>133350</xdr:rowOff>
    </xdr:to>
    <xdr:sp macro="" textlink="">
      <xdr:nvSpPr>
        <xdr:cNvPr id="79046" name="91"/>
        <xdr:cNvSpPr/>
      </xdr:nvSpPr>
      <xdr:spPr>
        <a:xfrm>
          <a:off x="10986407" y="145542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94</xdr:row>
      <xdr:rowOff>76200</xdr:rowOff>
    </xdr:from>
    <xdr:to>
      <xdr:col>42</xdr:col>
      <xdr:colOff>40822</xdr:colOff>
      <xdr:row>94</xdr:row>
      <xdr:rowOff>76200</xdr:rowOff>
    </xdr:to>
    <xdr:cxnSp macro="">
      <xdr:nvCxnSpPr>
        <xdr:cNvPr id="79047" name="직선 화살표 연결선 79046"/>
        <xdr:cNvCxnSpPr/>
      </xdr:nvCxnSpPr>
      <xdr:spPr>
        <a:xfrm>
          <a:off x="10986407" y="146113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93</xdr:row>
      <xdr:rowOff>19050</xdr:rowOff>
    </xdr:from>
    <xdr:to>
      <xdr:col>42</xdr:col>
      <xdr:colOff>42091</xdr:colOff>
      <xdr:row>93</xdr:row>
      <xdr:rowOff>133350</xdr:rowOff>
    </xdr:to>
    <xdr:sp macro="" textlink="">
      <xdr:nvSpPr>
        <xdr:cNvPr id="79048" name="90"/>
        <xdr:cNvSpPr/>
      </xdr:nvSpPr>
      <xdr:spPr>
        <a:xfrm>
          <a:off x="10986407" y="144018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93</xdr:row>
      <xdr:rowOff>76200</xdr:rowOff>
    </xdr:from>
    <xdr:to>
      <xdr:col>42</xdr:col>
      <xdr:colOff>40822</xdr:colOff>
      <xdr:row>93</xdr:row>
      <xdr:rowOff>76200</xdr:rowOff>
    </xdr:to>
    <xdr:cxnSp macro="">
      <xdr:nvCxnSpPr>
        <xdr:cNvPr id="79049" name="직선 화살표 연결선 79048"/>
        <xdr:cNvCxnSpPr/>
      </xdr:nvCxnSpPr>
      <xdr:spPr>
        <a:xfrm>
          <a:off x="10986407" y="144589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92</xdr:row>
      <xdr:rowOff>19050</xdr:rowOff>
    </xdr:from>
    <xdr:to>
      <xdr:col>42</xdr:col>
      <xdr:colOff>42091</xdr:colOff>
      <xdr:row>92</xdr:row>
      <xdr:rowOff>133350</xdr:rowOff>
    </xdr:to>
    <xdr:sp macro="" textlink="">
      <xdr:nvSpPr>
        <xdr:cNvPr id="79050" name="89"/>
        <xdr:cNvSpPr/>
      </xdr:nvSpPr>
      <xdr:spPr>
        <a:xfrm>
          <a:off x="10986407" y="14249400"/>
          <a:ext cx="838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92</xdr:row>
      <xdr:rowOff>76200</xdr:rowOff>
    </xdr:from>
    <xdr:to>
      <xdr:col>42</xdr:col>
      <xdr:colOff>40822</xdr:colOff>
      <xdr:row>92</xdr:row>
      <xdr:rowOff>76200</xdr:rowOff>
    </xdr:to>
    <xdr:cxnSp macro="">
      <xdr:nvCxnSpPr>
        <xdr:cNvPr id="79051" name="직선 화살표 연결선 79050"/>
        <xdr:cNvCxnSpPr/>
      </xdr:nvCxnSpPr>
      <xdr:spPr>
        <a:xfrm>
          <a:off x="10986407" y="143065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91</xdr:row>
      <xdr:rowOff>19050</xdr:rowOff>
    </xdr:from>
    <xdr:to>
      <xdr:col>42</xdr:col>
      <xdr:colOff>42091</xdr:colOff>
      <xdr:row>91</xdr:row>
      <xdr:rowOff>133350</xdr:rowOff>
    </xdr:to>
    <xdr:sp macro="" textlink="">
      <xdr:nvSpPr>
        <xdr:cNvPr id="79052" name="88"/>
        <xdr:cNvSpPr/>
      </xdr:nvSpPr>
      <xdr:spPr>
        <a:xfrm>
          <a:off x="10986407" y="14097000"/>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91</xdr:row>
      <xdr:rowOff>76200</xdr:rowOff>
    </xdr:from>
    <xdr:to>
      <xdr:col>42</xdr:col>
      <xdr:colOff>40822</xdr:colOff>
      <xdr:row>91</xdr:row>
      <xdr:rowOff>76200</xdr:rowOff>
    </xdr:to>
    <xdr:cxnSp macro="">
      <xdr:nvCxnSpPr>
        <xdr:cNvPr id="79053" name="직선 화살표 연결선 79052"/>
        <xdr:cNvCxnSpPr/>
      </xdr:nvCxnSpPr>
      <xdr:spPr>
        <a:xfrm>
          <a:off x="10986407" y="14154150"/>
          <a:ext cx="836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90</xdr:row>
      <xdr:rowOff>19050</xdr:rowOff>
    </xdr:from>
    <xdr:to>
      <xdr:col>35</xdr:col>
      <xdr:colOff>82913</xdr:colOff>
      <xdr:row>90</xdr:row>
      <xdr:rowOff>133350</xdr:rowOff>
    </xdr:to>
    <xdr:sp macro="" textlink="">
      <xdr:nvSpPr>
        <xdr:cNvPr id="79054" name="87"/>
        <xdr:cNvSpPr/>
      </xdr:nvSpPr>
      <xdr:spPr>
        <a:xfrm>
          <a:off x="10557782" y="13944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90</xdr:row>
      <xdr:rowOff>76200</xdr:rowOff>
    </xdr:from>
    <xdr:to>
      <xdr:col>35</xdr:col>
      <xdr:colOff>81643</xdr:colOff>
      <xdr:row>90</xdr:row>
      <xdr:rowOff>76200</xdr:rowOff>
    </xdr:to>
    <xdr:cxnSp macro="">
      <xdr:nvCxnSpPr>
        <xdr:cNvPr id="79055" name="직선 화살표 연결선 79054"/>
        <xdr:cNvCxnSpPr/>
      </xdr:nvCxnSpPr>
      <xdr:spPr>
        <a:xfrm>
          <a:off x="10557782" y="14001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89</xdr:row>
      <xdr:rowOff>19050</xdr:rowOff>
    </xdr:from>
    <xdr:to>
      <xdr:col>42</xdr:col>
      <xdr:colOff>42091</xdr:colOff>
      <xdr:row>89</xdr:row>
      <xdr:rowOff>133350</xdr:rowOff>
    </xdr:to>
    <xdr:sp macro="" textlink="">
      <xdr:nvSpPr>
        <xdr:cNvPr id="79056" name="86"/>
        <xdr:cNvSpPr/>
      </xdr:nvSpPr>
      <xdr:spPr>
        <a:xfrm>
          <a:off x="10557782" y="13792200"/>
          <a:ext cx="1266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89</xdr:row>
      <xdr:rowOff>76200</xdr:rowOff>
    </xdr:from>
    <xdr:to>
      <xdr:col>42</xdr:col>
      <xdr:colOff>40822</xdr:colOff>
      <xdr:row>89</xdr:row>
      <xdr:rowOff>76200</xdr:rowOff>
    </xdr:to>
    <xdr:cxnSp macro="">
      <xdr:nvCxnSpPr>
        <xdr:cNvPr id="79057" name="직선 화살표 연결선 79056"/>
        <xdr:cNvCxnSpPr/>
      </xdr:nvCxnSpPr>
      <xdr:spPr>
        <a:xfrm>
          <a:off x="10557782" y="13849350"/>
          <a:ext cx="1265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88</xdr:row>
      <xdr:rowOff>19050</xdr:rowOff>
    </xdr:from>
    <xdr:to>
      <xdr:col>34</xdr:col>
      <xdr:colOff>82913</xdr:colOff>
      <xdr:row>88</xdr:row>
      <xdr:rowOff>133350</xdr:rowOff>
    </xdr:to>
    <xdr:sp macro="" textlink="">
      <xdr:nvSpPr>
        <xdr:cNvPr id="79058" name="85"/>
        <xdr:cNvSpPr/>
      </xdr:nvSpPr>
      <xdr:spPr>
        <a:xfrm>
          <a:off x="10557782" y="13639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88</xdr:row>
      <xdr:rowOff>76200</xdr:rowOff>
    </xdr:from>
    <xdr:to>
      <xdr:col>34</xdr:col>
      <xdr:colOff>81643</xdr:colOff>
      <xdr:row>88</xdr:row>
      <xdr:rowOff>76200</xdr:rowOff>
    </xdr:to>
    <xdr:cxnSp macro="">
      <xdr:nvCxnSpPr>
        <xdr:cNvPr id="79059" name="직선 화살표 연결선 79058"/>
        <xdr:cNvCxnSpPr/>
      </xdr:nvCxnSpPr>
      <xdr:spPr>
        <a:xfrm>
          <a:off x="10557782" y="13696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87</xdr:row>
      <xdr:rowOff>19050</xdr:rowOff>
    </xdr:from>
    <xdr:to>
      <xdr:col>34</xdr:col>
      <xdr:colOff>82913</xdr:colOff>
      <xdr:row>87</xdr:row>
      <xdr:rowOff>133350</xdr:rowOff>
    </xdr:to>
    <xdr:sp macro="" textlink="">
      <xdr:nvSpPr>
        <xdr:cNvPr id="79060" name="84"/>
        <xdr:cNvSpPr/>
      </xdr:nvSpPr>
      <xdr:spPr>
        <a:xfrm>
          <a:off x="10557782" y="13487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87</xdr:row>
      <xdr:rowOff>76200</xdr:rowOff>
    </xdr:from>
    <xdr:to>
      <xdr:col>34</xdr:col>
      <xdr:colOff>81643</xdr:colOff>
      <xdr:row>87</xdr:row>
      <xdr:rowOff>76200</xdr:rowOff>
    </xdr:to>
    <xdr:cxnSp macro="">
      <xdr:nvCxnSpPr>
        <xdr:cNvPr id="79061" name="직선 화살표 연결선 79060"/>
        <xdr:cNvCxnSpPr/>
      </xdr:nvCxnSpPr>
      <xdr:spPr>
        <a:xfrm>
          <a:off x="10557782" y="13544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86</xdr:row>
      <xdr:rowOff>19050</xdr:rowOff>
    </xdr:from>
    <xdr:to>
      <xdr:col>34</xdr:col>
      <xdr:colOff>82913</xdr:colOff>
      <xdr:row>86</xdr:row>
      <xdr:rowOff>133350</xdr:rowOff>
    </xdr:to>
    <xdr:sp macro="" textlink="">
      <xdr:nvSpPr>
        <xdr:cNvPr id="79062" name="83"/>
        <xdr:cNvSpPr/>
      </xdr:nvSpPr>
      <xdr:spPr>
        <a:xfrm>
          <a:off x="10557782" y="13335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86</xdr:row>
      <xdr:rowOff>76200</xdr:rowOff>
    </xdr:from>
    <xdr:to>
      <xdr:col>34</xdr:col>
      <xdr:colOff>81643</xdr:colOff>
      <xdr:row>86</xdr:row>
      <xdr:rowOff>76200</xdr:rowOff>
    </xdr:to>
    <xdr:cxnSp macro="">
      <xdr:nvCxnSpPr>
        <xdr:cNvPr id="79063" name="직선 화살표 연결선 79062"/>
        <xdr:cNvCxnSpPr/>
      </xdr:nvCxnSpPr>
      <xdr:spPr>
        <a:xfrm>
          <a:off x="10557782" y="13392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85</xdr:row>
      <xdr:rowOff>19050</xdr:rowOff>
    </xdr:from>
    <xdr:to>
      <xdr:col>34</xdr:col>
      <xdr:colOff>82913</xdr:colOff>
      <xdr:row>85</xdr:row>
      <xdr:rowOff>133350</xdr:rowOff>
    </xdr:to>
    <xdr:sp macro="" textlink="">
      <xdr:nvSpPr>
        <xdr:cNvPr id="79064" name="82"/>
        <xdr:cNvSpPr/>
      </xdr:nvSpPr>
      <xdr:spPr>
        <a:xfrm>
          <a:off x="10557782" y="131826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85</xdr:row>
      <xdr:rowOff>76200</xdr:rowOff>
    </xdr:from>
    <xdr:to>
      <xdr:col>34</xdr:col>
      <xdr:colOff>81643</xdr:colOff>
      <xdr:row>85</xdr:row>
      <xdr:rowOff>76200</xdr:rowOff>
    </xdr:to>
    <xdr:cxnSp macro="">
      <xdr:nvCxnSpPr>
        <xdr:cNvPr id="79065" name="직선 화살표 연결선 79064"/>
        <xdr:cNvCxnSpPr/>
      </xdr:nvCxnSpPr>
      <xdr:spPr>
        <a:xfrm>
          <a:off x="10557782" y="13239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84</xdr:row>
      <xdr:rowOff>19050</xdr:rowOff>
    </xdr:from>
    <xdr:to>
      <xdr:col>34</xdr:col>
      <xdr:colOff>82913</xdr:colOff>
      <xdr:row>84</xdr:row>
      <xdr:rowOff>133350</xdr:rowOff>
    </xdr:to>
    <xdr:sp macro="" textlink="">
      <xdr:nvSpPr>
        <xdr:cNvPr id="79066" name="81"/>
        <xdr:cNvSpPr/>
      </xdr:nvSpPr>
      <xdr:spPr>
        <a:xfrm>
          <a:off x="10557782" y="130302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84</xdr:row>
      <xdr:rowOff>76200</xdr:rowOff>
    </xdr:from>
    <xdr:to>
      <xdr:col>34</xdr:col>
      <xdr:colOff>81643</xdr:colOff>
      <xdr:row>84</xdr:row>
      <xdr:rowOff>76200</xdr:rowOff>
    </xdr:to>
    <xdr:cxnSp macro="">
      <xdr:nvCxnSpPr>
        <xdr:cNvPr id="79067" name="직선 화살표 연결선 79066"/>
        <xdr:cNvCxnSpPr/>
      </xdr:nvCxnSpPr>
      <xdr:spPr>
        <a:xfrm>
          <a:off x="10557782" y="130873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83</xdr:row>
      <xdr:rowOff>19050</xdr:rowOff>
    </xdr:from>
    <xdr:to>
      <xdr:col>34</xdr:col>
      <xdr:colOff>82913</xdr:colOff>
      <xdr:row>83</xdr:row>
      <xdr:rowOff>133350</xdr:rowOff>
    </xdr:to>
    <xdr:sp macro="" textlink="">
      <xdr:nvSpPr>
        <xdr:cNvPr id="79068" name="80"/>
        <xdr:cNvSpPr/>
      </xdr:nvSpPr>
      <xdr:spPr>
        <a:xfrm>
          <a:off x="10557782" y="12877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83</xdr:row>
      <xdr:rowOff>76200</xdr:rowOff>
    </xdr:from>
    <xdr:to>
      <xdr:col>34</xdr:col>
      <xdr:colOff>81643</xdr:colOff>
      <xdr:row>83</xdr:row>
      <xdr:rowOff>76200</xdr:rowOff>
    </xdr:to>
    <xdr:cxnSp macro="">
      <xdr:nvCxnSpPr>
        <xdr:cNvPr id="79069" name="직선 화살표 연결선 79068"/>
        <xdr:cNvCxnSpPr/>
      </xdr:nvCxnSpPr>
      <xdr:spPr>
        <a:xfrm>
          <a:off x="10557782" y="12934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82</xdr:row>
      <xdr:rowOff>19050</xdr:rowOff>
    </xdr:from>
    <xdr:to>
      <xdr:col>34</xdr:col>
      <xdr:colOff>82913</xdr:colOff>
      <xdr:row>82</xdr:row>
      <xdr:rowOff>133350</xdr:rowOff>
    </xdr:to>
    <xdr:sp macro="" textlink="">
      <xdr:nvSpPr>
        <xdr:cNvPr id="79070" name="79"/>
        <xdr:cNvSpPr/>
      </xdr:nvSpPr>
      <xdr:spPr>
        <a:xfrm>
          <a:off x="10557782" y="12725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82</xdr:row>
      <xdr:rowOff>76200</xdr:rowOff>
    </xdr:from>
    <xdr:to>
      <xdr:col>34</xdr:col>
      <xdr:colOff>81643</xdr:colOff>
      <xdr:row>82</xdr:row>
      <xdr:rowOff>76200</xdr:rowOff>
    </xdr:to>
    <xdr:cxnSp macro="">
      <xdr:nvCxnSpPr>
        <xdr:cNvPr id="79071" name="직선 화살표 연결선 79070"/>
        <xdr:cNvCxnSpPr/>
      </xdr:nvCxnSpPr>
      <xdr:spPr>
        <a:xfrm>
          <a:off x="10557782" y="12782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81</xdr:row>
      <xdr:rowOff>19050</xdr:rowOff>
    </xdr:from>
    <xdr:to>
      <xdr:col>34</xdr:col>
      <xdr:colOff>82913</xdr:colOff>
      <xdr:row>81</xdr:row>
      <xdr:rowOff>133350</xdr:rowOff>
    </xdr:to>
    <xdr:sp macro="" textlink="">
      <xdr:nvSpPr>
        <xdr:cNvPr id="79072" name="78"/>
        <xdr:cNvSpPr/>
      </xdr:nvSpPr>
      <xdr:spPr>
        <a:xfrm>
          <a:off x="10557782" y="12573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81</xdr:row>
      <xdr:rowOff>76200</xdr:rowOff>
    </xdr:from>
    <xdr:to>
      <xdr:col>34</xdr:col>
      <xdr:colOff>81643</xdr:colOff>
      <xdr:row>81</xdr:row>
      <xdr:rowOff>76200</xdr:rowOff>
    </xdr:to>
    <xdr:cxnSp macro="">
      <xdr:nvCxnSpPr>
        <xdr:cNvPr id="79073" name="직선 화살표 연결선 79072"/>
        <xdr:cNvCxnSpPr/>
      </xdr:nvCxnSpPr>
      <xdr:spPr>
        <a:xfrm>
          <a:off x="10557782" y="12630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80</xdr:row>
      <xdr:rowOff>19050</xdr:rowOff>
    </xdr:from>
    <xdr:to>
      <xdr:col>34</xdr:col>
      <xdr:colOff>82913</xdr:colOff>
      <xdr:row>80</xdr:row>
      <xdr:rowOff>133350</xdr:rowOff>
    </xdr:to>
    <xdr:sp macro="" textlink="">
      <xdr:nvSpPr>
        <xdr:cNvPr id="79074" name="77"/>
        <xdr:cNvSpPr/>
      </xdr:nvSpPr>
      <xdr:spPr>
        <a:xfrm>
          <a:off x="10557782" y="124206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80</xdr:row>
      <xdr:rowOff>76200</xdr:rowOff>
    </xdr:from>
    <xdr:to>
      <xdr:col>34</xdr:col>
      <xdr:colOff>81643</xdr:colOff>
      <xdr:row>80</xdr:row>
      <xdr:rowOff>76200</xdr:rowOff>
    </xdr:to>
    <xdr:cxnSp macro="">
      <xdr:nvCxnSpPr>
        <xdr:cNvPr id="79075" name="직선 화살표 연결선 79074"/>
        <xdr:cNvCxnSpPr/>
      </xdr:nvCxnSpPr>
      <xdr:spPr>
        <a:xfrm>
          <a:off x="10557782" y="12477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79</xdr:row>
      <xdr:rowOff>19050</xdr:rowOff>
    </xdr:from>
    <xdr:to>
      <xdr:col>34</xdr:col>
      <xdr:colOff>82913</xdr:colOff>
      <xdr:row>79</xdr:row>
      <xdr:rowOff>133350</xdr:rowOff>
    </xdr:to>
    <xdr:sp macro="" textlink="">
      <xdr:nvSpPr>
        <xdr:cNvPr id="79076" name="76"/>
        <xdr:cNvSpPr/>
      </xdr:nvSpPr>
      <xdr:spPr>
        <a:xfrm>
          <a:off x="10557782" y="122682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79</xdr:row>
      <xdr:rowOff>76200</xdr:rowOff>
    </xdr:from>
    <xdr:to>
      <xdr:col>34</xdr:col>
      <xdr:colOff>81643</xdr:colOff>
      <xdr:row>79</xdr:row>
      <xdr:rowOff>76200</xdr:rowOff>
    </xdr:to>
    <xdr:cxnSp macro="">
      <xdr:nvCxnSpPr>
        <xdr:cNvPr id="79077" name="직선 화살표 연결선 79076"/>
        <xdr:cNvCxnSpPr/>
      </xdr:nvCxnSpPr>
      <xdr:spPr>
        <a:xfrm>
          <a:off x="10557782" y="123253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78</xdr:row>
      <xdr:rowOff>19050</xdr:rowOff>
    </xdr:from>
    <xdr:to>
      <xdr:col>34</xdr:col>
      <xdr:colOff>82913</xdr:colOff>
      <xdr:row>78</xdr:row>
      <xdr:rowOff>133350</xdr:rowOff>
    </xdr:to>
    <xdr:sp macro="" textlink="">
      <xdr:nvSpPr>
        <xdr:cNvPr id="79078" name="75"/>
        <xdr:cNvSpPr/>
      </xdr:nvSpPr>
      <xdr:spPr>
        <a:xfrm>
          <a:off x="10557782" y="12115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78</xdr:row>
      <xdr:rowOff>76200</xdr:rowOff>
    </xdr:from>
    <xdr:to>
      <xdr:col>34</xdr:col>
      <xdr:colOff>81643</xdr:colOff>
      <xdr:row>78</xdr:row>
      <xdr:rowOff>76200</xdr:rowOff>
    </xdr:to>
    <xdr:cxnSp macro="">
      <xdr:nvCxnSpPr>
        <xdr:cNvPr id="79079" name="직선 화살표 연결선 79078"/>
        <xdr:cNvCxnSpPr/>
      </xdr:nvCxnSpPr>
      <xdr:spPr>
        <a:xfrm>
          <a:off x="10557782" y="12172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77</xdr:row>
      <xdr:rowOff>19050</xdr:rowOff>
    </xdr:from>
    <xdr:to>
      <xdr:col>34</xdr:col>
      <xdr:colOff>82913</xdr:colOff>
      <xdr:row>77</xdr:row>
      <xdr:rowOff>133350</xdr:rowOff>
    </xdr:to>
    <xdr:sp macro="" textlink="">
      <xdr:nvSpPr>
        <xdr:cNvPr id="79080" name="74"/>
        <xdr:cNvSpPr/>
      </xdr:nvSpPr>
      <xdr:spPr>
        <a:xfrm>
          <a:off x="10557782" y="11963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77</xdr:row>
      <xdr:rowOff>76200</xdr:rowOff>
    </xdr:from>
    <xdr:to>
      <xdr:col>34</xdr:col>
      <xdr:colOff>81643</xdr:colOff>
      <xdr:row>77</xdr:row>
      <xdr:rowOff>76200</xdr:rowOff>
    </xdr:to>
    <xdr:cxnSp macro="">
      <xdr:nvCxnSpPr>
        <xdr:cNvPr id="79081" name="직선 화살표 연결선 79080"/>
        <xdr:cNvCxnSpPr/>
      </xdr:nvCxnSpPr>
      <xdr:spPr>
        <a:xfrm>
          <a:off x="10557782" y="12020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76</xdr:row>
      <xdr:rowOff>19050</xdr:rowOff>
    </xdr:from>
    <xdr:to>
      <xdr:col>34</xdr:col>
      <xdr:colOff>82913</xdr:colOff>
      <xdr:row>76</xdr:row>
      <xdr:rowOff>133350</xdr:rowOff>
    </xdr:to>
    <xdr:sp macro="" textlink="">
      <xdr:nvSpPr>
        <xdr:cNvPr id="79082" name="73"/>
        <xdr:cNvSpPr/>
      </xdr:nvSpPr>
      <xdr:spPr>
        <a:xfrm>
          <a:off x="10557782" y="11811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76</xdr:row>
      <xdr:rowOff>76200</xdr:rowOff>
    </xdr:from>
    <xdr:to>
      <xdr:col>34</xdr:col>
      <xdr:colOff>81643</xdr:colOff>
      <xdr:row>76</xdr:row>
      <xdr:rowOff>76200</xdr:rowOff>
    </xdr:to>
    <xdr:cxnSp macro="">
      <xdr:nvCxnSpPr>
        <xdr:cNvPr id="79083" name="직선 화살표 연결선 79082"/>
        <xdr:cNvCxnSpPr/>
      </xdr:nvCxnSpPr>
      <xdr:spPr>
        <a:xfrm>
          <a:off x="10557782" y="11868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75</xdr:row>
      <xdr:rowOff>19050</xdr:rowOff>
    </xdr:from>
    <xdr:to>
      <xdr:col>34</xdr:col>
      <xdr:colOff>82913</xdr:colOff>
      <xdr:row>75</xdr:row>
      <xdr:rowOff>133350</xdr:rowOff>
    </xdr:to>
    <xdr:sp macro="" textlink="">
      <xdr:nvSpPr>
        <xdr:cNvPr id="79084" name="72"/>
        <xdr:cNvSpPr/>
      </xdr:nvSpPr>
      <xdr:spPr>
        <a:xfrm>
          <a:off x="10557782" y="116586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75</xdr:row>
      <xdr:rowOff>76200</xdr:rowOff>
    </xdr:from>
    <xdr:to>
      <xdr:col>34</xdr:col>
      <xdr:colOff>81643</xdr:colOff>
      <xdr:row>75</xdr:row>
      <xdr:rowOff>76200</xdr:rowOff>
    </xdr:to>
    <xdr:cxnSp macro="">
      <xdr:nvCxnSpPr>
        <xdr:cNvPr id="79085" name="직선 화살표 연결선 79084"/>
        <xdr:cNvCxnSpPr/>
      </xdr:nvCxnSpPr>
      <xdr:spPr>
        <a:xfrm>
          <a:off x="10557782" y="11715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74</xdr:row>
      <xdr:rowOff>19050</xdr:rowOff>
    </xdr:from>
    <xdr:to>
      <xdr:col>34</xdr:col>
      <xdr:colOff>82913</xdr:colOff>
      <xdr:row>74</xdr:row>
      <xdr:rowOff>133350</xdr:rowOff>
    </xdr:to>
    <xdr:sp macro="" textlink="">
      <xdr:nvSpPr>
        <xdr:cNvPr id="79086" name="71"/>
        <xdr:cNvSpPr/>
      </xdr:nvSpPr>
      <xdr:spPr>
        <a:xfrm>
          <a:off x="10557782" y="115062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74</xdr:row>
      <xdr:rowOff>76200</xdr:rowOff>
    </xdr:from>
    <xdr:to>
      <xdr:col>34</xdr:col>
      <xdr:colOff>81643</xdr:colOff>
      <xdr:row>74</xdr:row>
      <xdr:rowOff>76200</xdr:rowOff>
    </xdr:to>
    <xdr:cxnSp macro="">
      <xdr:nvCxnSpPr>
        <xdr:cNvPr id="79087" name="직선 화살표 연결선 79086"/>
        <xdr:cNvCxnSpPr/>
      </xdr:nvCxnSpPr>
      <xdr:spPr>
        <a:xfrm>
          <a:off x="10557782" y="115633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73</xdr:row>
      <xdr:rowOff>19050</xdr:rowOff>
    </xdr:from>
    <xdr:to>
      <xdr:col>34</xdr:col>
      <xdr:colOff>82913</xdr:colOff>
      <xdr:row>73</xdr:row>
      <xdr:rowOff>133350</xdr:rowOff>
    </xdr:to>
    <xdr:sp macro="" textlink="">
      <xdr:nvSpPr>
        <xdr:cNvPr id="79088" name="70"/>
        <xdr:cNvSpPr/>
      </xdr:nvSpPr>
      <xdr:spPr>
        <a:xfrm>
          <a:off x="10557782" y="11353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73</xdr:row>
      <xdr:rowOff>76200</xdr:rowOff>
    </xdr:from>
    <xdr:to>
      <xdr:col>34</xdr:col>
      <xdr:colOff>81643</xdr:colOff>
      <xdr:row>73</xdr:row>
      <xdr:rowOff>76200</xdr:rowOff>
    </xdr:to>
    <xdr:cxnSp macro="">
      <xdr:nvCxnSpPr>
        <xdr:cNvPr id="79089" name="직선 화살표 연결선 79088"/>
        <xdr:cNvCxnSpPr/>
      </xdr:nvCxnSpPr>
      <xdr:spPr>
        <a:xfrm>
          <a:off x="10557782" y="11410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72</xdr:row>
      <xdr:rowOff>19050</xdr:rowOff>
    </xdr:from>
    <xdr:to>
      <xdr:col>34</xdr:col>
      <xdr:colOff>82913</xdr:colOff>
      <xdr:row>72</xdr:row>
      <xdr:rowOff>133350</xdr:rowOff>
    </xdr:to>
    <xdr:sp macro="" textlink="">
      <xdr:nvSpPr>
        <xdr:cNvPr id="79090" name="69"/>
        <xdr:cNvSpPr/>
      </xdr:nvSpPr>
      <xdr:spPr>
        <a:xfrm>
          <a:off x="10557782" y="11201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72</xdr:row>
      <xdr:rowOff>76200</xdr:rowOff>
    </xdr:from>
    <xdr:to>
      <xdr:col>34</xdr:col>
      <xdr:colOff>81643</xdr:colOff>
      <xdr:row>72</xdr:row>
      <xdr:rowOff>76200</xdr:rowOff>
    </xdr:to>
    <xdr:cxnSp macro="">
      <xdr:nvCxnSpPr>
        <xdr:cNvPr id="79091" name="직선 화살표 연결선 79090"/>
        <xdr:cNvCxnSpPr/>
      </xdr:nvCxnSpPr>
      <xdr:spPr>
        <a:xfrm>
          <a:off x="10557782" y="11258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71</xdr:row>
      <xdr:rowOff>19050</xdr:rowOff>
    </xdr:from>
    <xdr:to>
      <xdr:col>34</xdr:col>
      <xdr:colOff>82913</xdr:colOff>
      <xdr:row>71</xdr:row>
      <xdr:rowOff>133350</xdr:rowOff>
    </xdr:to>
    <xdr:sp macro="" textlink="">
      <xdr:nvSpPr>
        <xdr:cNvPr id="79092" name="68"/>
        <xdr:cNvSpPr/>
      </xdr:nvSpPr>
      <xdr:spPr>
        <a:xfrm>
          <a:off x="10557782" y="110490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71</xdr:row>
      <xdr:rowOff>76200</xdr:rowOff>
    </xdr:from>
    <xdr:to>
      <xdr:col>34</xdr:col>
      <xdr:colOff>81643</xdr:colOff>
      <xdr:row>71</xdr:row>
      <xdr:rowOff>76200</xdr:rowOff>
    </xdr:to>
    <xdr:cxnSp macro="">
      <xdr:nvCxnSpPr>
        <xdr:cNvPr id="79093" name="직선 화살표 연결선 79092"/>
        <xdr:cNvCxnSpPr/>
      </xdr:nvCxnSpPr>
      <xdr:spPr>
        <a:xfrm>
          <a:off x="10557782" y="11106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70</xdr:row>
      <xdr:rowOff>19050</xdr:rowOff>
    </xdr:from>
    <xdr:to>
      <xdr:col>34</xdr:col>
      <xdr:colOff>82913</xdr:colOff>
      <xdr:row>70</xdr:row>
      <xdr:rowOff>133350</xdr:rowOff>
    </xdr:to>
    <xdr:sp macro="" textlink="">
      <xdr:nvSpPr>
        <xdr:cNvPr id="79094" name="67"/>
        <xdr:cNvSpPr/>
      </xdr:nvSpPr>
      <xdr:spPr>
        <a:xfrm>
          <a:off x="10557782" y="108966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70</xdr:row>
      <xdr:rowOff>76200</xdr:rowOff>
    </xdr:from>
    <xdr:to>
      <xdr:col>34</xdr:col>
      <xdr:colOff>81643</xdr:colOff>
      <xdr:row>70</xdr:row>
      <xdr:rowOff>76200</xdr:rowOff>
    </xdr:to>
    <xdr:cxnSp macro="">
      <xdr:nvCxnSpPr>
        <xdr:cNvPr id="79095" name="직선 화살표 연결선 79094"/>
        <xdr:cNvCxnSpPr/>
      </xdr:nvCxnSpPr>
      <xdr:spPr>
        <a:xfrm>
          <a:off x="10557782" y="10953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69</xdr:row>
      <xdr:rowOff>19050</xdr:rowOff>
    </xdr:from>
    <xdr:to>
      <xdr:col>35</xdr:col>
      <xdr:colOff>82913</xdr:colOff>
      <xdr:row>69</xdr:row>
      <xdr:rowOff>133350</xdr:rowOff>
    </xdr:to>
    <xdr:sp macro="" textlink="">
      <xdr:nvSpPr>
        <xdr:cNvPr id="79096" name="66"/>
        <xdr:cNvSpPr/>
      </xdr:nvSpPr>
      <xdr:spPr>
        <a:xfrm>
          <a:off x="10557782" y="10744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69</xdr:row>
      <xdr:rowOff>76200</xdr:rowOff>
    </xdr:from>
    <xdr:to>
      <xdr:col>35</xdr:col>
      <xdr:colOff>81643</xdr:colOff>
      <xdr:row>69</xdr:row>
      <xdr:rowOff>76200</xdr:rowOff>
    </xdr:to>
    <xdr:cxnSp macro="">
      <xdr:nvCxnSpPr>
        <xdr:cNvPr id="79097" name="직선 화살표 연결선 79096"/>
        <xdr:cNvCxnSpPr/>
      </xdr:nvCxnSpPr>
      <xdr:spPr>
        <a:xfrm>
          <a:off x="10557782" y="10801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68</xdr:row>
      <xdr:rowOff>19050</xdr:rowOff>
    </xdr:from>
    <xdr:to>
      <xdr:col>35</xdr:col>
      <xdr:colOff>82913</xdr:colOff>
      <xdr:row>68</xdr:row>
      <xdr:rowOff>133350</xdr:rowOff>
    </xdr:to>
    <xdr:sp macro="" textlink="">
      <xdr:nvSpPr>
        <xdr:cNvPr id="79098" name="65"/>
        <xdr:cNvSpPr/>
      </xdr:nvSpPr>
      <xdr:spPr>
        <a:xfrm>
          <a:off x="10557782" y="105918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68</xdr:row>
      <xdr:rowOff>76200</xdr:rowOff>
    </xdr:from>
    <xdr:to>
      <xdr:col>35</xdr:col>
      <xdr:colOff>81643</xdr:colOff>
      <xdr:row>68</xdr:row>
      <xdr:rowOff>76200</xdr:rowOff>
    </xdr:to>
    <xdr:cxnSp macro="">
      <xdr:nvCxnSpPr>
        <xdr:cNvPr id="79099" name="직선 화살표 연결선 79098"/>
        <xdr:cNvCxnSpPr/>
      </xdr:nvCxnSpPr>
      <xdr:spPr>
        <a:xfrm>
          <a:off x="10557782" y="10648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67</xdr:row>
      <xdr:rowOff>19050</xdr:rowOff>
    </xdr:from>
    <xdr:to>
      <xdr:col>35</xdr:col>
      <xdr:colOff>82913</xdr:colOff>
      <xdr:row>67</xdr:row>
      <xdr:rowOff>133350</xdr:rowOff>
    </xdr:to>
    <xdr:sp macro="" textlink="">
      <xdr:nvSpPr>
        <xdr:cNvPr id="79100" name="64"/>
        <xdr:cNvSpPr/>
      </xdr:nvSpPr>
      <xdr:spPr>
        <a:xfrm>
          <a:off x="10557782" y="104394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67</xdr:row>
      <xdr:rowOff>76200</xdr:rowOff>
    </xdr:from>
    <xdr:to>
      <xdr:col>35</xdr:col>
      <xdr:colOff>81643</xdr:colOff>
      <xdr:row>67</xdr:row>
      <xdr:rowOff>76200</xdr:rowOff>
    </xdr:to>
    <xdr:cxnSp macro="">
      <xdr:nvCxnSpPr>
        <xdr:cNvPr id="79101" name="직선 화살표 연결선 79100"/>
        <xdr:cNvCxnSpPr/>
      </xdr:nvCxnSpPr>
      <xdr:spPr>
        <a:xfrm>
          <a:off x="10557782" y="10496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66</xdr:row>
      <xdr:rowOff>19050</xdr:rowOff>
    </xdr:from>
    <xdr:to>
      <xdr:col>35</xdr:col>
      <xdr:colOff>82913</xdr:colOff>
      <xdr:row>66</xdr:row>
      <xdr:rowOff>133350</xdr:rowOff>
    </xdr:to>
    <xdr:sp macro="" textlink="">
      <xdr:nvSpPr>
        <xdr:cNvPr id="79102" name="63"/>
        <xdr:cNvSpPr/>
      </xdr:nvSpPr>
      <xdr:spPr>
        <a:xfrm>
          <a:off x="10557782" y="102870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66</xdr:row>
      <xdr:rowOff>76200</xdr:rowOff>
    </xdr:from>
    <xdr:to>
      <xdr:col>35</xdr:col>
      <xdr:colOff>81643</xdr:colOff>
      <xdr:row>66</xdr:row>
      <xdr:rowOff>76200</xdr:rowOff>
    </xdr:to>
    <xdr:cxnSp macro="">
      <xdr:nvCxnSpPr>
        <xdr:cNvPr id="79103" name="직선 화살표 연결선 79102"/>
        <xdr:cNvCxnSpPr/>
      </xdr:nvCxnSpPr>
      <xdr:spPr>
        <a:xfrm>
          <a:off x="10557782" y="10344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65</xdr:row>
      <xdr:rowOff>19050</xdr:rowOff>
    </xdr:from>
    <xdr:to>
      <xdr:col>35</xdr:col>
      <xdr:colOff>82913</xdr:colOff>
      <xdr:row>65</xdr:row>
      <xdr:rowOff>133350</xdr:rowOff>
    </xdr:to>
    <xdr:sp macro="" textlink="">
      <xdr:nvSpPr>
        <xdr:cNvPr id="79104" name="62"/>
        <xdr:cNvSpPr/>
      </xdr:nvSpPr>
      <xdr:spPr>
        <a:xfrm>
          <a:off x="10557782" y="10134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65</xdr:row>
      <xdr:rowOff>76200</xdr:rowOff>
    </xdr:from>
    <xdr:to>
      <xdr:col>35</xdr:col>
      <xdr:colOff>81643</xdr:colOff>
      <xdr:row>65</xdr:row>
      <xdr:rowOff>76200</xdr:rowOff>
    </xdr:to>
    <xdr:cxnSp macro="">
      <xdr:nvCxnSpPr>
        <xdr:cNvPr id="79105" name="직선 화살표 연결선 79104"/>
        <xdr:cNvCxnSpPr/>
      </xdr:nvCxnSpPr>
      <xdr:spPr>
        <a:xfrm>
          <a:off x="10557782" y="10191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64</xdr:row>
      <xdr:rowOff>19050</xdr:rowOff>
    </xdr:from>
    <xdr:to>
      <xdr:col>35</xdr:col>
      <xdr:colOff>82913</xdr:colOff>
      <xdr:row>64</xdr:row>
      <xdr:rowOff>133350</xdr:rowOff>
    </xdr:to>
    <xdr:sp macro="" textlink="">
      <xdr:nvSpPr>
        <xdr:cNvPr id="79106" name="61"/>
        <xdr:cNvSpPr/>
      </xdr:nvSpPr>
      <xdr:spPr>
        <a:xfrm>
          <a:off x="10557782" y="9982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64</xdr:row>
      <xdr:rowOff>76200</xdr:rowOff>
    </xdr:from>
    <xdr:to>
      <xdr:col>35</xdr:col>
      <xdr:colOff>81643</xdr:colOff>
      <xdr:row>64</xdr:row>
      <xdr:rowOff>76200</xdr:rowOff>
    </xdr:to>
    <xdr:cxnSp macro="">
      <xdr:nvCxnSpPr>
        <xdr:cNvPr id="79107" name="직선 화살표 연결선 79106"/>
        <xdr:cNvCxnSpPr/>
      </xdr:nvCxnSpPr>
      <xdr:spPr>
        <a:xfrm>
          <a:off x="10557782" y="10039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63</xdr:row>
      <xdr:rowOff>19050</xdr:rowOff>
    </xdr:from>
    <xdr:to>
      <xdr:col>35</xdr:col>
      <xdr:colOff>82913</xdr:colOff>
      <xdr:row>63</xdr:row>
      <xdr:rowOff>133350</xdr:rowOff>
    </xdr:to>
    <xdr:sp macro="" textlink="">
      <xdr:nvSpPr>
        <xdr:cNvPr id="79108" name="60"/>
        <xdr:cNvSpPr/>
      </xdr:nvSpPr>
      <xdr:spPr>
        <a:xfrm>
          <a:off x="10557782" y="98298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63</xdr:row>
      <xdr:rowOff>76200</xdr:rowOff>
    </xdr:from>
    <xdr:to>
      <xdr:col>35</xdr:col>
      <xdr:colOff>81643</xdr:colOff>
      <xdr:row>63</xdr:row>
      <xdr:rowOff>76200</xdr:rowOff>
    </xdr:to>
    <xdr:cxnSp macro="">
      <xdr:nvCxnSpPr>
        <xdr:cNvPr id="79109" name="직선 화살표 연결선 79108"/>
        <xdr:cNvCxnSpPr/>
      </xdr:nvCxnSpPr>
      <xdr:spPr>
        <a:xfrm>
          <a:off x="10557782" y="9886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62</xdr:row>
      <xdr:rowOff>19050</xdr:rowOff>
    </xdr:from>
    <xdr:to>
      <xdr:col>35</xdr:col>
      <xdr:colOff>82913</xdr:colOff>
      <xdr:row>62</xdr:row>
      <xdr:rowOff>133350</xdr:rowOff>
    </xdr:to>
    <xdr:sp macro="" textlink="">
      <xdr:nvSpPr>
        <xdr:cNvPr id="79110" name="59"/>
        <xdr:cNvSpPr/>
      </xdr:nvSpPr>
      <xdr:spPr>
        <a:xfrm>
          <a:off x="10557782" y="96774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62</xdr:row>
      <xdr:rowOff>76200</xdr:rowOff>
    </xdr:from>
    <xdr:to>
      <xdr:col>35</xdr:col>
      <xdr:colOff>81643</xdr:colOff>
      <xdr:row>62</xdr:row>
      <xdr:rowOff>76200</xdr:rowOff>
    </xdr:to>
    <xdr:cxnSp macro="">
      <xdr:nvCxnSpPr>
        <xdr:cNvPr id="79111" name="직선 화살표 연결선 79110"/>
        <xdr:cNvCxnSpPr/>
      </xdr:nvCxnSpPr>
      <xdr:spPr>
        <a:xfrm>
          <a:off x="10557782" y="9734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61</xdr:row>
      <xdr:rowOff>19050</xdr:rowOff>
    </xdr:from>
    <xdr:to>
      <xdr:col>35</xdr:col>
      <xdr:colOff>82913</xdr:colOff>
      <xdr:row>61</xdr:row>
      <xdr:rowOff>133350</xdr:rowOff>
    </xdr:to>
    <xdr:sp macro="" textlink="">
      <xdr:nvSpPr>
        <xdr:cNvPr id="79112" name="58"/>
        <xdr:cNvSpPr/>
      </xdr:nvSpPr>
      <xdr:spPr>
        <a:xfrm>
          <a:off x="10557782" y="95250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61</xdr:row>
      <xdr:rowOff>76200</xdr:rowOff>
    </xdr:from>
    <xdr:to>
      <xdr:col>35</xdr:col>
      <xdr:colOff>81643</xdr:colOff>
      <xdr:row>61</xdr:row>
      <xdr:rowOff>76200</xdr:rowOff>
    </xdr:to>
    <xdr:cxnSp macro="">
      <xdr:nvCxnSpPr>
        <xdr:cNvPr id="79113" name="직선 화살표 연결선 79112"/>
        <xdr:cNvCxnSpPr/>
      </xdr:nvCxnSpPr>
      <xdr:spPr>
        <a:xfrm>
          <a:off x="10557782" y="9582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60</xdr:row>
      <xdr:rowOff>19050</xdr:rowOff>
    </xdr:from>
    <xdr:to>
      <xdr:col>35</xdr:col>
      <xdr:colOff>82913</xdr:colOff>
      <xdr:row>60</xdr:row>
      <xdr:rowOff>133350</xdr:rowOff>
    </xdr:to>
    <xdr:sp macro="" textlink="">
      <xdr:nvSpPr>
        <xdr:cNvPr id="79114" name="57"/>
        <xdr:cNvSpPr/>
      </xdr:nvSpPr>
      <xdr:spPr>
        <a:xfrm>
          <a:off x="10557782" y="9372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60</xdr:row>
      <xdr:rowOff>76200</xdr:rowOff>
    </xdr:from>
    <xdr:to>
      <xdr:col>35</xdr:col>
      <xdr:colOff>81643</xdr:colOff>
      <xdr:row>60</xdr:row>
      <xdr:rowOff>76200</xdr:rowOff>
    </xdr:to>
    <xdr:cxnSp macro="">
      <xdr:nvCxnSpPr>
        <xdr:cNvPr id="79115" name="직선 화살표 연결선 79114"/>
        <xdr:cNvCxnSpPr/>
      </xdr:nvCxnSpPr>
      <xdr:spPr>
        <a:xfrm>
          <a:off x="10557782" y="9429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59</xdr:row>
      <xdr:rowOff>19050</xdr:rowOff>
    </xdr:from>
    <xdr:to>
      <xdr:col>35</xdr:col>
      <xdr:colOff>82913</xdr:colOff>
      <xdr:row>59</xdr:row>
      <xdr:rowOff>133350</xdr:rowOff>
    </xdr:to>
    <xdr:sp macro="" textlink="">
      <xdr:nvSpPr>
        <xdr:cNvPr id="79116" name="56"/>
        <xdr:cNvSpPr/>
      </xdr:nvSpPr>
      <xdr:spPr>
        <a:xfrm>
          <a:off x="10557782" y="9220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59</xdr:row>
      <xdr:rowOff>76200</xdr:rowOff>
    </xdr:from>
    <xdr:to>
      <xdr:col>35</xdr:col>
      <xdr:colOff>81643</xdr:colOff>
      <xdr:row>59</xdr:row>
      <xdr:rowOff>76200</xdr:rowOff>
    </xdr:to>
    <xdr:cxnSp macro="">
      <xdr:nvCxnSpPr>
        <xdr:cNvPr id="79117" name="직선 화살표 연결선 79116"/>
        <xdr:cNvCxnSpPr/>
      </xdr:nvCxnSpPr>
      <xdr:spPr>
        <a:xfrm>
          <a:off x="10557782" y="9277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58</xdr:row>
      <xdr:rowOff>19050</xdr:rowOff>
    </xdr:from>
    <xdr:to>
      <xdr:col>35</xdr:col>
      <xdr:colOff>82913</xdr:colOff>
      <xdr:row>58</xdr:row>
      <xdr:rowOff>133350</xdr:rowOff>
    </xdr:to>
    <xdr:sp macro="" textlink="">
      <xdr:nvSpPr>
        <xdr:cNvPr id="79118" name="55"/>
        <xdr:cNvSpPr/>
      </xdr:nvSpPr>
      <xdr:spPr>
        <a:xfrm>
          <a:off x="10557782" y="90678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58</xdr:row>
      <xdr:rowOff>76200</xdr:rowOff>
    </xdr:from>
    <xdr:to>
      <xdr:col>35</xdr:col>
      <xdr:colOff>81643</xdr:colOff>
      <xdr:row>58</xdr:row>
      <xdr:rowOff>76200</xdr:rowOff>
    </xdr:to>
    <xdr:cxnSp macro="">
      <xdr:nvCxnSpPr>
        <xdr:cNvPr id="79119" name="직선 화살표 연결선 79118"/>
        <xdr:cNvCxnSpPr/>
      </xdr:nvCxnSpPr>
      <xdr:spPr>
        <a:xfrm>
          <a:off x="10557782" y="9124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57</xdr:row>
      <xdr:rowOff>19050</xdr:rowOff>
    </xdr:from>
    <xdr:to>
      <xdr:col>35</xdr:col>
      <xdr:colOff>82913</xdr:colOff>
      <xdr:row>57</xdr:row>
      <xdr:rowOff>133350</xdr:rowOff>
    </xdr:to>
    <xdr:sp macro="" textlink="">
      <xdr:nvSpPr>
        <xdr:cNvPr id="79120" name="54"/>
        <xdr:cNvSpPr/>
      </xdr:nvSpPr>
      <xdr:spPr>
        <a:xfrm>
          <a:off x="10557782" y="89154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57</xdr:row>
      <xdr:rowOff>76200</xdr:rowOff>
    </xdr:from>
    <xdr:to>
      <xdr:col>35</xdr:col>
      <xdr:colOff>81643</xdr:colOff>
      <xdr:row>57</xdr:row>
      <xdr:rowOff>76200</xdr:rowOff>
    </xdr:to>
    <xdr:cxnSp macro="">
      <xdr:nvCxnSpPr>
        <xdr:cNvPr id="79121" name="직선 화살표 연결선 79120"/>
        <xdr:cNvCxnSpPr/>
      </xdr:nvCxnSpPr>
      <xdr:spPr>
        <a:xfrm>
          <a:off x="10557782" y="8972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56</xdr:row>
      <xdr:rowOff>19050</xdr:rowOff>
    </xdr:from>
    <xdr:to>
      <xdr:col>35</xdr:col>
      <xdr:colOff>82913</xdr:colOff>
      <xdr:row>56</xdr:row>
      <xdr:rowOff>133350</xdr:rowOff>
    </xdr:to>
    <xdr:sp macro="" textlink="">
      <xdr:nvSpPr>
        <xdr:cNvPr id="79122" name="53"/>
        <xdr:cNvSpPr/>
      </xdr:nvSpPr>
      <xdr:spPr>
        <a:xfrm>
          <a:off x="10557782" y="87630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56</xdr:row>
      <xdr:rowOff>76200</xdr:rowOff>
    </xdr:from>
    <xdr:to>
      <xdr:col>35</xdr:col>
      <xdr:colOff>81643</xdr:colOff>
      <xdr:row>56</xdr:row>
      <xdr:rowOff>76200</xdr:rowOff>
    </xdr:to>
    <xdr:cxnSp macro="">
      <xdr:nvCxnSpPr>
        <xdr:cNvPr id="79123" name="직선 화살표 연결선 79122"/>
        <xdr:cNvCxnSpPr/>
      </xdr:nvCxnSpPr>
      <xdr:spPr>
        <a:xfrm>
          <a:off x="10557782" y="8820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55</xdr:row>
      <xdr:rowOff>19050</xdr:rowOff>
    </xdr:from>
    <xdr:to>
      <xdr:col>35</xdr:col>
      <xdr:colOff>82913</xdr:colOff>
      <xdr:row>55</xdr:row>
      <xdr:rowOff>133350</xdr:rowOff>
    </xdr:to>
    <xdr:sp macro="" textlink="">
      <xdr:nvSpPr>
        <xdr:cNvPr id="79124" name="52"/>
        <xdr:cNvSpPr/>
      </xdr:nvSpPr>
      <xdr:spPr>
        <a:xfrm>
          <a:off x="10557782" y="86106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55</xdr:row>
      <xdr:rowOff>76200</xdr:rowOff>
    </xdr:from>
    <xdr:to>
      <xdr:col>35</xdr:col>
      <xdr:colOff>81643</xdr:colOff>
      <xdr:row>55</xdr:row>
      <xdr:rowOff>76200</xdr:rowOff>
    </xdr:to>
    <xdr:cxnSp macro="">
      <xdr:nvCxnSpPr>
        <xdr:cNvPr id="79125" name="직선 화살표 연결선 79124"/>
        <xdr:cNvCxnSpPr/>
      </xdr:nvCxnSpPr>
      <xdr:spPr>
        <a:xfrm>
          <a:off x="10557782" y="8667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54</xdr:row>
      <xdr:rowOff>19050</xdr:rowOff>
    </xdr:from>
    <xdr:to>
      <xdr:col>35</xdr:col>
      <xdr:colOff>82913</xdr:colOff>
      <xdr:row>54</xdr:row>
      <xdr:rowOff>133350</xdr:rowOff>
    </xdr:to>
    <xdr:sp macro="" textlink="">
      <xdr:nvSpPr>
        <xdr:cNvPr id="79126" name="51"/>
        <xdr:cNvSpPr/>
      </xdr:nvSpPr>
      <xdr:spPr>
        <a:xfrm>
          <a:off x="10557782" y="8458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54</xdr:row>
      <xdr:rowOff>76200</xdr:rowOff>
    </xdr:from>
    <xdr:to>
      <xdr:col>35</xdr:col>
      <xdr:colOff>81643</xdr:colOff>
      <xdr:row>54</xdr:row>
      <xdr:rowOff>76200</xdr:rowOff>
    </xdr:to>
    <xdr:cxnSp macro="">
      <xdr:nvCxnSpPr>
        <xdr:cNvPr id="79127" name="직선 화살표 연결선 79126"/>
        <xdr:cNvCxnSpPr/>
      </xdr:nvCxnSpPr>
      <xdr:spPr>
        <a:xfrm>
          <a:off x="10557782" y="8515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53</xdr:row>
      <xdr:rowOff>19050</xdr:rowOff>
    </xdr:from>
    <xdr:to>
      <xdr:col>35</xdr:col>
      <xdr:colOff>82913</xdr:colOff>
      <xdr:row>53</xdr:row>
      <xdr:rowOff>133350</xdr:rowOff>
    </xdr:to>
    <xdr:sp macro="" textlink="">
      <xdr:nvSpPr>
        <xdr:cNvPr id="79128" name="50"/>
        <xdr:cNvSpPr/>
      </xdr:nvSpPr>
      <xdr:spPr>
        <a:xfrm>
          <a:off x="10557782" y="83058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53</xdr:row>
      <xdr:rowOff>76200</xdr:rowOff>
    </xdr:from>
    <xdr:to>
      <xdr:col>35</xdr:col>
      <xdr:colOff>81643</xdr:colOff>
      <xdr:row>53</xdr:row>
      <xdr:rowOff>76200</xdr:rowOff>
    </xdr:to>
    <xdr:cxnSp macro="">
      <xdr:nvCxnSpPr>
        <xdr:cNvPr id="79129" name="직선 화살표 연결선 79128"/>
        <xdr:cNvCxnSpPr/>
      </xdr:nvCxnSpPr>
      <xdr:spPr>
        <a:xfrm>
          <a:off x="10557782" y="8362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52</xdr:row>
      <xdr:rowOff>19050</xdr:rowOff>
    </xdr:from>
    <xdr:to>
      <xdr:col>35</xdr:col>
      <xdr:colOff>82913</xdr:colOff>
      <xdr:row>52</xdr:row>
      <xdr:rowOff>133350</xdr:rowOff>
    </xdr:to>
    <xdr:sp macro="" textlink="">
      <xdr:nvSpPr>
        <xdr:cNvPr id="79130" name="49"/>
        <xdr:cNvSpPr/>
      </xdr:nvSpPr>
      <xdr:spPr>
        <a:xfrm>
          <a:off x="10557782" y="81534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52</xdr:row>
      <xdr:rowOff>76200</xdr:rowOff>
    </xdr:from>
    <xdr:to>
      <xdr:col>35</xdr:col>
      <xdr:colOff>81643</xdr:colOff>
      <xdr:row>52</xdr:row>
      <xdr:rowOff>76200</xdr:rowOff>
    </xdr:to>
    <xdr:cxnSp macro="">
      <xdr:nvCxnSpPr>
        <xdr:cNvPr id="79131" name="직선 화살표 연결선 79130"/>
        <xdr:cNvCxnSpPr/>
      </xdr:nvCxnSpPr>
      <xdr:spPr>
        <a:xfrm>
          <a:off x="10557782" y="8210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51</xdr:row>
      <xdr:rowOff>19050</xdr:rowOff>
    </xdr:from>
    <xdr:to>
      <xdr:col>35</xdr:col>
      <xdr:colOff>82913</xdr:colOff>
      <xdr:row>51</xdr:row>
      <xdr:rowOff>133350</xdr:rowOff>
    </xdr:to>
    <xdr:sp macro="" textlink="">
      <xdr:nvSpPr>
        <xdr:cNvPr id="79132" name="48"/>
        <xdr:cNvSpPr/>
      </xdr:nvSpPr>
      <xdr:spPr>
        <a:xfrm>
          <a:off x="10557782" y="80010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51</xdr:row>
      <xdr:rowOff>76200</xdr:rowOff>
    </xdr:from>
    <xdr:to>
      <xdr:col>35</xdr:col>
      <xdr:colOff>81643</xdr:colOff>
      <xdr:row>51</xdr:row>
      <xdr:rowOff>76200</xdr:rowOff>
    </xdr:to>
    <xdr:cxnSp macro="">
      <xdr:nvCxnSpPr>
        <xdr:cNvPr id="79133" name="직선 화살표 연결선 79132"/>
        <xdr:cNvCxnSpPr/>
      </xdr:nvCxnSpPr>
      <xdr:spPr>
        <a:xfrm>
          <a:off x="10557782" y="8058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50</xdr:row>
      <xdr:rowOff>19050</xdr:rowOff>
    </xdr:from>
    <xdr:to>
      <xdr:col>35</xdr:col>
      <xdr:colOff>82913</xdr:colOff>
      <xdr:row>50</xdr:row>
      <xdr:rowOff>133350</xdr:rowOff>
    </xdr:to>
    <xdr:sp macro="" textlink="">
      <xdr:nvSpPr>
        <xdr:cNvPr id="79134" name="47"/>
        <xdr:cNvSpPr/>
      </xdr:nvSpPr>
      <xdr:spPr>
        <a:xfrm>
          <a:off x="10557782" y="7848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50</xdr:row>
      <xdr:rowOff>76200</xdr:rowOff>
    </xdr:from>
    <xdr:to>
      <xdr:col>35</xdr:col>
      <xdr:colOff>81643</xdr:colOff>
      <xdr:row>50</xdr:row>
      <xdr:rowOff>76200</xdr:rowOff>
    </xdr:to>
    <xdr:cxnSp macro="">
      <xdr:nvCxnSpPr>
        <xdr:cNvPr id="79135" name="직선 화살표 연결선 79134"/>
        <xdr:cNvCxnSpPr/>
      </xdr:nvCxnSpPr>
      <xdr:spPr>
        <a:xfrm>
          <a:off x="10557782" y="7905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49</xdr:row>
      <xdr:rowOff>19050</xdr:rowOff>
    </xdr:from>
    <xdr:to>
      <xdr:col>35</xdr:col>
      <xdr:colOff>82913</xdr:colOff>
      <xdr:row>49</xdr:row>
      <xdr:rowOff>133350</xdr:rowOff>
    </xdr:to>
    <xdr:sp macro="" textlink="">
      <xdr:nvSpPr>
        <xdr:cNvPr id="79136" name="46"/>
        <xdr:cNvSpPr/>
      </xdr:nvSpPr>
      <xdr:spPr>
        <a:xfrm>
          <a:off x="10557782" y="76962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49</xdr:row>
      <xdr:rowOff>76200</xdr:rowOff>
    </xdr:from>
    <xdr:to>
      <xdr:col>35</xdr:col>
      <xdr:colOff>81643</xdr:colOff>
      <xdr:row>49</xdr:row>
      <xdr:rowOff>76200</xdr:rowOff>
    </xdr:to>
    <xdr:cxnSp macro="">
      <xdr:nvCxnSpPr>
        <xdr:cNvPr id="79137" name="직선 화살표 연결선 79136"/>
        <xdr:cNvCxnSpPr/>
      </xdr:nvCxnSpPr>
      <xdr:spPr>
        <a:xfrm>
          <a:off x="10557782" y="7753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48</xdr:row>
      <xdr:rowOff>19050</xdr:rowOff>
    </xdr:from>
    <xdr:to>
      <xdr:col>35</xdr:col>
      <xdr:colOff>82913</xdr:colOff>
      <xdr:row>48</xdr:row>
      <xdr:rowOff>133350</xdr:rowOff>
    </xdr:to>
    <xdr:sp macro="" textlink="">
      <xdr:nvSpPr>
        <xdr:cNvPr id="79138" name="45"/>
        <xdr:cNvSpPr/>
      </xdr:nvSpPr>
      <xdr:spPr>
        <a:xfrm>
          <a:off x="10557782" y="75438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48</xdr:row>
      <xdr:rowOff>76200</xdr:rowOff>
    </xdr:from>
    <xdr:to>
      <xdr:col>35</xdr:col>
      <xdr:colOff>81643</xdr:colOff>
      <xdr:row>48</xdr:row>
      <xdr:rowOff>76200</xdr:rowOff>
    </xdr:to>
    <xdr:cxnSp macro="">
      <xdr:nvCxnSpPr>
        <xdr:cNvPr id="79139" name="직선 화살표 연결선 79138"/>
        <xdr:cNvCxnSpPr/>
      </xdr:nvCxnSpPr>
      <xdr:spPr>
        <a:xfrm>
          <a:off x="10557782" y="7600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47</xdr:row>
      <xdr:rowOff>19050</xdr:rowOff>
    </xdr:from>
    <xdr:to>
      <xdr:col>35</xdr:col>
      <xdr:colOff>82913</xdr:colOff>
      <xdr:row>47</xdr:row>
      <xdr:rowOff>133350</xdr:rowOff>
    </xdr:to>
    <xdr:sp macro="" textlink="">
      <xdr:nvSpPr>
        <xdr:cNvPr id="79140" name="44"/>
        <xdr:cNvSpPr/>
      </xdr:nvSpPr>
      <xdr:spPr>
        <a:xfrm>
          <a:off x="10557782" y="73914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47</xdr:row>
      <xdr:rowOff>76200</xdr:rowOff>
    </xdr:from>
    <xdr:to>
      <xdr:col>35</xdr:col>
      <xdr:colOff>81643</xdr:colOff>
      <xdr:row>47</xdr:row>
      <xdr:rowOff>76200</xdr:rowOff>
    </xdr:to>
    <xdr:cxnSp macro="">
      <xdr:nvCxnSpPr>
        <xdr:cNvPr id="79141" name="직선 화살표 연결선 79140"/>
        <xdr:cNvCxnSpPr/>
      </xdr:nvCxnSpPr>
      <xdr:spPr>
        <a:xfrm>
          <a:off x="10557782" y="7448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46</xdr:row>
      <xdr:rowOff>19050</xdr:rowOff>
    </xdr:from>
    <xdr:to>
      <xdr:col>35</xdr:col>
      <xdr:colOff>82913</xdr:colOff>
      <xdr:row>46</xdr:row>
      <xdr:rowOff>133350</xdr:rowOff>
    </xdr:to>
    <xdr:sp macro="" textlink="">
      <xdr:nvSpPr>
        <xdr:cNvPr id="79142" name="43"/>
        <xdr:cNvSpPr/>
      </xdr:nvSpPr>
      <xdr:spPr>
        <a:xfrm>
          <a:off x="10557782" y="72390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46</xdr:row>
      <xdr:rowOff>76200</xdr:rowOff>
    </xdr:from>
    <xdr:to>
      <xdr:col>35</xdr:col>
      <xdr:colOff>81643</xdr:colOff>
      <xdr:row>46</xdr:row>
      <xdr:rowOff>76200</xdr:rowOff>
    </xdr:to>
    <xdr:cxnSp macro="">
      <xdr:nvCxnSpPr>
        <xdr:cNvPr id="79143" name="직선 화살표 연결선 79142"/>
        <xdr:cNvCxnSpPr/>
      </xdr:nvCxnSpPr>
      <xdr:spPr>
        <a:xfrm>
          <a:off x="10557782" y="7296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45</xdr:row>
      <xdr:rowOff>19050</xdr:rowOff>
    </xdr:from>
    <xdr:to>
      <xdr:col>35</xdr:col>
      <xdr:colOff>82913</xdr:colOff>
      <xdr:row>45</xdr:row>
      <xdr:rowOff>133350</xdr:rowOff>
    </xdr:to>
    <xdr:sp macro="" textlink="">
      <xdr:nvSpPr>
        <xdr:cNvPr id="79144" name="42"/>
        <xdr:cNvSpPr/>
      </xdr:nvSpPr>
      <xdr:spPr>
        <a:xfrm>
          <a:off x="10557782" y="70866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45</xdr:row>
      <xdr:rowOff>76200</xdr:rowOff>
    </xdr:from>
    <xdr:to>
      <xdr:col>35</xdr:col>
      <xdr:colOff>81643</xdr:colOff>
      <xdr:row>45</xdr:row>
      <xdr:rowOff>76200</xdr:rowOff>
    </xdr:to>
    <xdr:cxnSp macro="">
      <xdr:nvCxnSpPr>
        <xdr:cNvPr id="79145" name="직선 화살표 연결선 79144"/>
        <xdr:cNvCxnSpPr/>
      </xdr:nvCxnSpPr>
      <xdr:spPr>
        <a:xfrm>
          <a:off x="10557782" y="7143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44</xdr:row>
      <xdr:rowOff>19050</xdr:rowOff>
    </xdr:from>
    <xdr:to>
      <xdr:col>35</xdr:col>
      <xdr:colOff>82913</xdr:colOff>
      <xdr:row>44</xdr:row>
      <xdr:rowOff>133350</xdr:rowOff>
    </xdr:to>
    <xdr:sp macro="" textlink="">
      <xdr:nvSpPr>
        <xdr:cNvPr id="79146" name="41"/>
        <xdr:cNvSpPr/>
      </xdr:nvSpPr>
      <xdr:spPr>
        <a:xfrm>
          <a:off x="10557782" y="69342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44</xdr:row>
      <xdr:rowOff>76200</xdr:rowOff>
    </xdr:from>
    <xdr:to>
      <xdr:col>35</xdr:col>
      <xdr:colOff>81643</xdr:colOff>
      <xdr:row>44</xdr:row>
      <xdr:rowOff>76200</xdr:rowOff>
    </xdr:to>
    <xdr:cxnSp macro="">
      <xdr:nvCxnSpPr>
        <xdr:cNvPr id="79147" name="직선 화살표 연결선 79146"/>
        <xdr:cNvCxnSpPr/>
      </xdr:nvCxnSpPr>
      <xdr:spPr>
        <a:xfrm>
          <a:off x="10557782" y="6991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43</xdr:row>
      <xdr:rowOff>19050</xdr:rowOff>
    </xdr:from>
    <xdr:to>
      <xdr:col>35</xdr:col>
      <xdr:colOff>82913</xdr:colOff>
      <xdr:row>43</xdr:row>
      <xdr:rowOff>133350</xdr:rowOff>
    </xdr:to>
    <xdr:sp macro="" textlink="">
      <xdr:nvSpPr>
        <xdr:cNvPr id="79148" name="40"/>
        <xdr:cNvSpPr/>
      </xdr:nvSpPr>
      <xdr:spPr>
        <a:xfrm>
          <a:off x="10557782" y="67818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43</xdr:row>
      <xdr:rowOff>76200</xdr:rowOff>
    </xdr:from>
    <xdr:to>
      <xdr:col>35</xdr:col>
      <xdr:colOff>81643</xdr:colOff>
      <xdr:row>43</xdr:row>
      <xdr:rowOff>76200</xdr:rowOff>
    </xdr:to>
    <xdr:cxnSp macro="">
      <xdr:nvCxnSpPr>
        <xdr:cNvPr id="79149" name="직선 화살표 연결선 79148"/>
        <xdr:cNvCxnSpPr/>
      </xdr:nvCxnSpPr>
      <xdr:spPr>
        <a:xfrm>
          <a:off x="10557782" y="6838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42</xdr:row>
      <xdr:rowOff>19050</xdr:rowOff>
    </xdr:from>
    <xdr:to>
      <xdr:col>35</xdr:col>
      <xdr:colOff>82913</xdr:colOff>
      <xdr:row>42</xdr:row>
      <xdr:rowOff>133350</xdr:rowOff>
    </xdr:to>
    <xdr:sp macro="" textlink="">
      <xdr:nvSpPr>
        <xdr:cNvPr id="79150" name="39"/>
        <xdr:cNvSpPr/>
      </xdr:nvSpPr>
      <xdr:spPr>
        <a:xfrm>
          <a:off x="10557782" y="66294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42</xdr:row>
      <xdr:rowOff>76200</xdr:rowOff>
    </xdr:from>
    <xdr:to>
      <xdr:col>35</xdr:col>
      <xdr:colOff>81643</xdr:colOff>
      <xdr:row>42</xdr:row>
      <xdr:rowOff>76200</xdr:rowOff>
    </xdr:to>
    <xdr:cxnSp macro="">
      <xdr:nvCxnSpPr>
        <xdr:cNvPr id="79151" name="직선 화살표 연결선 79150"/>
        <xdr:cNvCxnSpPr/>
      </xdr:nvCxnSpPr>
      <xdr:spPr>
        <a:xfrm>
          <a:off x="10557782" y="6686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41</xdr:row>
      <xdr:rowOff>19050</xdr:rowOff>
    </xdr:from>
    <xdr:to>
      <xdr:col>35</xdr:col>
      <xdr:colOff>82913</xdr:colOff>
      <xdr:row>41</xdr:row>
      <xdr:rowOff>133350</xdr:rowOff>
    </xdr:to>
    <xdr:sp macro="" textlink="">
      <xdr:nvSpPr>
        <xdr:cNvPr id="79152" name="38"/>
        <xdr:cNvSpPr/>
      </xdr:nvSpPr>
      <xdr:spPr>
        <a:xfrm>
          <a:off x="10557782" y="64770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41</xdr:row>
      <xdr:rowOff>76200</xdr:rowOff>
    </xdr:from>
    <xdr:to>
      <xdr:col>35</xdr:col>
      <xdr:colOff>81643</xdr:colOff>
      <xdr:row>41</xdr:row>
      <xdr:rowOff>76200</xdr:rowOff>
    </xdr:to>
    <xdr:cxnSp macro="">
      <xdr:nvCxnSpPr>
        <xdr:cNvPr id="79153" name="직선 화살표 연결선 79152"/>
        <xdr:cNvCxnSpPr/>
      </xdr:nvCxnSpPr>
      <xdr:spPr>
        <a:xfrm>
          <a:off x="10557782" y="6534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40</xdr:row>
      <xdr:rowOff>19050</xdr:rowOff>
    </xdr:from>
    <xdr:to>
      <xdr:col>35</xdr:col>
      <xdr:colOff>82913</xdr:colOff>
      <xdr:row>40</xdr:row>
      <xdr:rowOff>133350</xdr:rowOff>
    </xdr:to>
    <xdr:sp macro="" textlink="">
      <xdr:nvSpPr>
        <xdr:cNvPr id="79154" name="37"/>
        <xdr:cNvSpPr/>
      </xdr:nvSpPr>
      <xdr:spPr>
        <a:xfrm>
          <a:off x="10557782" y="63246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40</xdr:row>
      <xdr:rowOff>76200</xdr:rowOff>
    </xdr:from>
    <xdr:to>
      <xdr:col>35</xdr:col>
      <xdr:colOff>81643</xdr:colOff>
      <xdr:row>40</xdr:row>
      <xdr:rowOff>76200</xdr:rowOff>
    </xdr:to>
    <xdr:cxnSp macro="">
      <xdr:nvCxnSpPr>
        <xdr:cNvPr id="79155" name="직선 화살표 연결선 79154"/>
        <xdr:cNvCxnSpPr/>
      </xdr:nvCxnSpPr>
      <xdr:spPr>
        <a:xfrm>
          <a:off x="10557782" y="6381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39</xdr:row>
      <xdr:rowOff>19050</xdr:rowOff>
    </xdr:from>
    <xdr:to>
      <xdr:col>35</xdr:col>
      <xdr:colOff>82913</xdr:colOff>
      <xdr:row>39</xdr:row>
      <xdr:rowOff>133350</xdr:rowOff>
    </xdr:to>
    <xdr:sp macro="" textlink="">
      <xdr:nvSpPr>
        <xdr:cNvPr id="79156" name="36"/>
        <xdr:cNvSpPr/>
      </xdr:nvSpPr>
      <xdr:spPr>
        <a:xfrm>
          <a:off x="10557782" y="61722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39</xdr:row>
      <xdr:rowOff>76200</xdr:rowOff>
    </xdr:from>
    <xdr:to>
      <xdr:col>35</xdr:col>
      <xdr:colOff>81643</xdr:colOff>
      <xdr:row>39</xdr:row>
      <xdr:rowOff>76200</xdr:rowOff>
    </xdr:to>
    <xdr:cxnSp macro="">
      <xdr:nvCxnSpPr>
        <xdr:cNvPr id="79157" name="직선 화살표 연결선 79156"/>
        <xdr:cNvCxnSpPr/>
      </xdr:nvCxnSpPr>
      <xdr:spPr>
        <a:xfrm>
          <a:off x="10557782" y="6229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38</xdr:row>
      <xdr:rowOff>19050</xdr:rowOff>
    </xdr:from>
    <xdr:to>
      <xdr:col>35</xdr:col>
      <xdr:colOff>82913</xdr:colOff>
      <xdr:row>38</xdr:row>
      <xdr:rowOff>133350</xdr:rowOff>
    </xdr:to>
    <xdr:sp macro="" textlink="">
      <xdr:nvSpPr>
        <xdr:cNvPr id="79158" name="35"/>
        <xdr:cNvSpPr/>
      </xdr:nvSpPr>
      <xdr:spPr>
        <a:xfrm>
          <a:off x="10557782" y="60198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38</xdr:row>
      <xdr:rowOff>76200</xdr:rowOff>
    </xdr:from>
    <xdr:to>
      <xdr:col>35</xdr:col>
      <xdr:colOff>81643</xdr:colOff>
      <xdr:row>38</xdr:row>
      <xdr:rowOff>76200</xdr:rowOff>
    </xdr:to>
    <xdr:cxnSp macro="">
      <xdr:nvCxnSpPr>
        <xdr:cNvPr id="79159" name="직선 화살표 연결선 79158"/>
        <xdr:cNvCxnSpPr/>
      </xdr:nvCxnSpPr>
      <xdr:spPr>
        <a:xfrm>
          <a:off x="10557782" y="60769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37</xdr:row>
      <xdr:rowOff>19050</xdr:rowOff>
    </xdr:from>
    <xdr:to>
      <xdr:col>35</xdr:col>
      <xdr:colOff>82913</xdr:colOff>
      <xdr:row>37</xdr:row>
      <xdr:rowOff>133350</xdr:rowOff>
    </xdr:to>
    <xdr:sp macro="" textlink="">
      <xdr:nvSpPr>
        <xdr:cNvPr id="79160" name="34"/>
        <xdr:cNvSpPr/>
      </xdr:nvSpPr>
      <xdr:spPr>
        <a:xfrm>
          <a:off x="10557782" y="58674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37</xdr:row>
      <xdr:rowOff>76200</xdr:rowOff>
    </xdr:from>
    <xdr:to>
      <xdr:col>35</xdr:col>
      <xdr:colOff>81643</xdr:colOff>
      <xdr:row>37</xdr:row>
      <xdr:rowOff>76200</xdr:rowOff>
    </xdr:to>
    <xdr:cxnSp macro="">
      <xdr:nvCxnSpPr>
        <xdr:cNvPr id="79161" name="직선 화살표 연결선 79160"/>
        <xdr:cNvCxnSpPr/>
      </xdr:nvCxnSpPr>
      <xdr:spPr>
        <a:xfrm>
          <a:off x="10557782" y="5924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36</xdr:row>
      <xdr:rowOff>19050</xdr:rowOff>
    </xdr:from>
    <xdr:to>
      <xdr:col>35</xdr:col>
      <xdr:colOff>82913</xdr:colOff>
      <xdr:row>36</xdr:row>
      <xdr:rowOff>133350</xdr:rowOff>
    </xdr:to>
    <xdr:sp macro="" textlink="">
      <xdr:nvSpPr>
        <xdr:cNvPr id="79162" name="33"/>
        <xdr:cNvSpPr/>
      </xdr:nvSpPr>
      <xdr:spPr>
        <a:xfrm>
          <a:off x="10557782" y="57150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36</xdr:row>
      <xdr:rowOff>76200</xdr:rowOff>
    </xdr:from>
    <xdr:to>
      <xdr:col>35</xdr:col>
      <xdr:colOff>81643</xdr:colOff>
      <xdr:row>36</xdr:row>
      <xdr:rowOff>76200</xdr:rowOff>
    </xdr:to>
    <xdr:cxnSp macro="">
      <xdr:nvCxnSpPr>
        <xdr:cNvPr id="79163" name="직선 화살표 연결선 79162"/>
        <xdr:cNvCxnSpPr/>
      </xdr:nvCxnSpPr>
      <xdr:spPr>
        <a:xfrm>
          <a:off x="10557782" y="57721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35</xdr:row>
      <xdr:rowOff>19050</xdr:rowOff>
    </xdr:from>
    <xdr:to>
      <xdr:col>35</xdr:col>
      <xdr:colOff>82913</xdr:colOff>
      <xdr:row>35</xdr:row>
      <xdr:rowOff>133350</xdr:rowOff>
    </xdr:to>
    <xdr:sp macro="" textlink="">
      <xdr:nvSpPr>
        <xdr:cNvPr id="79164" name="32"/>
        <xdr:cNvSpPr/>
      </xdr:nvSpPr>
      <xdr:spPr>
        <a:xfrm>
          <a:off x="10557782" y="55626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35</xdr:row>
      <xdr:rowOff>76200</xdr:rowOff>
    </xdr:from>
    <xdr:to>
      <xdr:col>35</xdr:col>
      <xdr:colOff>81643</xdr:colOff>
      <xdr:row>35</xdr:row>
      <xdr:rowOff>76200</xdr:rowOff>
    </xdr:to>
    <xdr:cxnSp macro="">
      <xdr:nvCxnSpPr>
        <xdr:cNvPr id="79165" name="직선 화살표 연결선 79164"/>
        <xdr:cNvCxnSpPr/>
      </xdr:nvCxnSpPr>
      <xdr:spPr>
        <a:xfrm>
          <a:off x="10557782" y="56197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34</xdr:row>
      <xdr:rowOff>19050</xdr:rowOff>
    </xdr:from>
    <xdr:to>
      <xdr:col>35</xdr:col>
      <xdr:colOff>82913</xdr:colOff>
      <xdr:row>34</xdr:row>
      <xdr:rowOff>133350</xdr:rowOff>
    </xdr:to>
    <xdr:sp macro="" textlink="">
      <xdr:nvSpPr>
        <xdr:cNvPr id="79166" name="31"/>
        <xdr:cNvSpPr/>
      </xdr:nvSpPr>
      <xdr:spPr>
        <a:xfrm>
          <a:off x="10557782" y="54102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34</xdr:row>
      <xdr:rowOff>76200</xdr:rowOff>
    </xdr:from>
    <xdr:to>
      <xdr:col>35</xdr:col>
      <xdr:colOff>81643</xdr:colOff>
      <xdr:row>34</xdr:row>
      <xdr:rowOff>76200</xdr:rowOff>
    </xdr:to>
    <xdr:cxnSp macro="">
      <xdr:nvCxnSpPr>
        <xdr:cNvPr id="79167" name="직선 화살표 연결선 79166"/>
        <xdr:cNvCxnSpPr/>
      </xdr:nvCxnSpPr>
      <xdr:spPr>
        <a:xfrm>
          <a:off x="10557782" y="5467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33</xdr:row>
      <xdr:rowOff>19050</xdr:rowOff>
    </xdr:from>
    <xdr:to>
      <xdr:col>33</xdr:col>
      <xdr:colOff>82913</xdr:colOff>
      <xdr:row>33</xdr:row>
      <xdr:rowOff>133350</xdr:rowOff>
    </xdr:to>
    <xdr:sp macro="" textlink="">
      <xdr:nvSpPr>
        <xdr:cNvPr id="79168" name="30"/>
        <xdr:cNvSpPr/>
      </xdr:nvSpPr>
      <xdr:spPr>
        <a:xfrm>
          <a:off x="10414907" y="5257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33</xdr:row>
      <xdr:rowOff>76200</xdr:rowOff>
    </xdr:from>
    <xdr:to>
      <xdr:col>33</xdr:col>
      <xdr:colOff>81643</xdr:colOff>
      <xdr:row>33</xdr:row>
      <xdr:rowOff>76200</xdr:rowOff>
    </xdr:to>
    <xdr:cxnSp macro="">
      <xdr:nvCxnSpPr>
        <xdr:cNvPr id="79169" name="직선 화살표 연결선 79168"/>
        <xdr:cNvCxnSpPr/>
      </xdr:nvCxnSpPr>
      <xdr:spPr>
        <a:xfrm>
          <a:off x="10414907" y="5314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32</xdr:row>
      <xdr:rowOff>19050</xdr:rowOff>
    </xdr:from>
    <xdr:to>
      <xdr:col>34</xdr:col>
      <xdr:colOff>82913</xdr:colOff>
      <xdr:row>32</xdr:row>
      <xdr:rowOff>133350</xdr:rowOff>
    </xdr:to>
    <xdr:sp macro="" textlink="">
      <xdr:nvSpPr>
        <xdr:cNvPr id="79170" name="29"/>
        <xdr:cNvSpPr/>
      </xdr:nvSpPr>
      <xdr:spPr>
        <a:xfrm>
          <a:off x="10414907" y="5105400"/>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32</xdr:row>
      <xdr:rowOff>76200</xdr:rowOff>
    </xdr:from>
    <xdr:to>
      <xdr:col>34</xdr:col>
      <xdr:colOff>81643</xdr:colOff>
      <xdr:row>32</xdr:row>
      <xdr:rowOff>76200</xdr:rowOff>
    </xdr:to>
    <xdr:cxnSp macro="">
      <xdr:nvCxnSpPr>
        <xdr:cNvPr id="79171" name="직선 화살표 연결선 79170"/>
        <xdr:cNvCxnSpPr/>
      </xdr:nvCxnSpPr>
      <xdr:spPr>
        <a:xfrm>
          <a:off x="10414907" y="51625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31</xdr:row>
      <xdr:rowOff>19050</xdr:rowOff>
    </xdr:from>
    <xdr:to>
      <xdr:col>33</xdr:col>
      <xdr:colOff>82913</xdr:colOff>
      <xdr:row>31</xdr:row>
      <xdr:rowOff>133350</xdr:rowOff>
    </xdr:to>
    <xdr:sp macro="" textlink="">
      <xdr:nvSpPr>
        <xdr:cNvPr id="79172" name="28"/>
        <xdr:cNvSpPr/>
      </xdr:nvSpPr>
      <xdr:spPr>
        <a:xfrm>
          <a:off x="10414907" y="4953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31</xdr:row>
      <xdr:rowOff>76200</xdr:rowOff>
    </xdr:from>
    <xdr:to>
      <xdr:col>33</xdr:col>
      <xdr:colOff>81643</xdr:colOff>
      <xdr:row>31</xdr:row>
      <xdr:rowOff>76200</xdr:rowOff>
    </xdr:to>
    <xdr:cxnSp macro="">
      <xdr:nvCxnSpPr>
        <xdr:cNvPr id="79173" name="직선 화살표 연결선 79172"/>
        <xdr:cNvCxnSpPr/>
      </xdr:nvCxnSpPr>
      <xdr:spPr>
        <a:xfrm>
          <a:off x="10414907" y="5010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30</xdr:row>
      <xdr:rowOff>19050</xdr:rowOff>
    </xdr:from>
    <xdr:to>
      <xdr:col>33</xdr:col>
      <xdr:colOff>82913</xdr:colOff>
      <xdr:row>30</xdr:row>
      <xdr:rowOff>133350</xdr:rowOff>
    </xdr:to>
    <xdr:sp macro="" textlink="">
      <xdr:nvSpPr>
        <xdr:cNvPr id="79174" name="27"/>
        <xdr:cNvSpPr/>
      </xdr:nvSpPr>
      <xdr:spPr>
        <a:xfrm>
          <a:off x="10414907" y="48006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30</xdr:row>
      <xdr:rowOff>76200</xdr:rowOff>
    </xdr:from>
    <xdr:to>
      <xdr:col>33</xdr:col>
      <xdr:colOff>81643</xdr:colOff>
      <xdr:row>30</xdr:row>
      <xdr:rowOff>76200</xdr:rowOff>
    </xdr:to>
    <xdr:cxnSp macro="">
      <xdr:nvCxnSpPr>
        <xdr:cNvPr id="79175" name="직선 화살표 연결선 79174"/>
        <xdr:cNvCxnSpPr/>
      </xdr:nvCxnSpPr>
      <xdr:spPr>
        <a:xfrm>
          <a:off x="10414907" y="4857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29</xdr:row>
      <xdr:rowOff>19050</xdr:rowOff>
    </xdr:from>
    <xdr:to>
      <xdr:col>34</xdr:col>
      <xdr:colOff>82913</xdr:colOff>
      <xdr:row>29</xdr:row>
      <xdr:rowOff>133350</xdr:rowOff>
    </xdr:to>
    <xdr:sp macro="" textlink="">
      <xdr:nvSpPr>
        <xdr:cNvPr id="79176" name="26"/>
        <xdr:cNvSpPr/>
      </xdr:nvSpPr>
      <xdr:spPr>
        <a:xfrm>
          <a:off x="10414907" y="4648200"/>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29</xdr:row>
      <xdr:rowOff>76200</xdr:rowOff>
    </xdr:from>
    <xdr:to>
      <xdr:col>34</xdr:col>
      <xdr:colOff>81643</xdr:colOff>
      <xdr:row>29</xdr:row>
      <xdr:rowOff>76200</xdr:rowOff>
    </xdr:to>
    <xdr:cxnSp macro="">
      <xdr:nvCxnSpPr>
        <xdr:cNvPr id="79177" name="직선 화살표 연결선 79176"/>
        <xdr:cNvCxnSpPr/>
      </xdr:nvCxnSpPr>
      <xdr:spPr>
        <a:xfrm>
          <a:off x="10414907" y="4705350"/>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28</xdr:row>
      <xdr:rowOff>19050</xdr:rowOff>
    </xdr:from>
    <xdr:to>
      <xdr:col>33</xdr:col>
      <xdr:colOff>82913</xdr:colOff>
      <xdr:row>28</xdr:row>
      <xdr:rowOff>133350</xdr:rowOff>
    </xdr:to>
    <xdr:sp macro="" textlink="">
      <xdr:nvSpPr>
        <xdr:cNvPr id="79178" name="25"/>
        <xdr:cNvSpPr/>
      </xdr:nvSpPr>
      <xdr:spPr>
        <a:xfrm>
          <a:off x="10414907" y="4495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28</xdr:row>
      <xdr:rowOff>76200</xdr:rowOff>
    </xdr:from>
    <xdr:to>
      <xdr:col>33</xdr:col>
      <xdr:colOff>81643</xdr:colOff>
      <xdr:row>28</xdr:row>
      <xdr:rowOff>76200</xdr:rowOff>
    </xdr:to>
    <xdr:cxnSp macro="">
      <xdr:nvCxnSpPr>
        <xdr:cNvPr id="79179" name="직선 화살표 연결선 79178"/>
        <xdr:cNvCxnSpPr/>
      </xdr:nvCxnSpPr>
      <xdr:spPr>
        <a:xfrm>
          <a:off x="10414907" y="4552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27</xdr:row>
      <xdr:rowOff>19050</xdr:rowOff>
    </xdr:from>
    <xdr:to>
      <xdr:col>33</xdr:col>
      <xdr:colOff>82913</xdr:colOff>
      <xdr:row>27</xdr:row>
      <xdr:rowOff>133350</xdr:rowOff>
    </xdr:to>
    <xdr:sp macro="" textlink="">
      <xdr:nvSpPr>
        <xdr:cNvPr id="79180" name="24"/>
        <xdr:cNvSpPr/>
      </xdr:nvSpPr>
      <xdr:spPr>
        <a:xfrm>
          <a:off x="10414907" y="4343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27</xdr:row>
      <xdr:rowOff>76200</xdr:rowOff>
    </xdr:from>
    <xdr:to>
      <xdr:col>33</xdr:col>
      <xdr:colOff>81643</xdr:colOff>
      <xdr:row>27</xdr:row>
      <xdr:rowOff>76200</xdr:rowOff>
    </xdr:to>
    <xdr:cxnSp macro="">
      <xdr:nvCxnSpPr>
        <xdr:cNvPr id="79181" name="직선 화살표 연결선 79180"/>
        <xdr:cNvCxnSpPr/>
      </xdr:nvCxnSpPr>
      <xdr:spPr>
        <a:xfrm>
          <a:off x="10414907" y="4400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26</xdr:row>
      <xdr:rowOff>19050</xdr:rowOff>
    </xdr:from>
    <xdr:to>
      <xdr:col>33</xdr:col>
      <xdr:colOff>82913</xdr:colOff>
      <xdr:row>26</xdr:row>
      <xdr:rowOff>133350</xdr:rowOff>
    </xdr:to>
    <xdr:sp macro="" textlink="">
      <xdr:nvSpPr>
        <xdr:cNvPr id="79182" name="23"/>
        <xdr:cNvSpPr/>
      </xdr:nvSpPr>
      <xdr:spPr>
        <a:xfrm>
          <a:off x="10414907" y="41910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26</xdr:row>
      <xdr:rowOff>76200</xdr:rowOff>
    </xdr:from>
    <xdr:to>
      <xdr:col>33</xdr:col>
      <xdr:colOff>81643</xdr:colOff>
      <xdr:row>26</xdr:row>
      <xdr:rowOff>76200</xdr:rowOff>
    </xdr:to>
    <xdr:cxnSp macro="">
      <xdr:nvCxnSpPr>
        <xdr:cNvPr id="79183" name="직선 화살표 연결선 79182"/>
        <xdr:cNvCxnSpPr/>
      </xdr:nvCxnSpPr>
      <xdr:spPr>
        <a:xfrm>
          <a:off x="10414907" y="4248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25</xdr:row>
      <xdr:rowOff>19050</xdr:rowOff>
    </xdr:from>
    <xdr:to>
      <xdr:col>35</xdr:col>
      <xdr:colOff>82913</xdr:colOff>
      <xdr:row>25</xdr:row>
      <xdr:rowOff>133350</xdr:rowOff>
    </xdr:to>
    <xdr:sp macro="" textlink="">
      <xdr:nvSpPr>
        <xdr:cNvPr id="79184" name="22"/>
        <xdr:cNvSpPr/>
      </xdr:nvSpPr>
      <xdr:spPr>
        <a:xfrm>
          <a:off x="10414907" y="4038600"/>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25</xdr:row>
      <xdr:rowOff>76200</xdr:rowOff>
    </xdr:from>
    <xdr:to>
      <xdr:col>35</xdr:col>
      <xdr:colOff>81643</xdr:colOff>
      <xdr:row>25</xdr:row>
      <xdr:rowOff>76200</xdr:rowOff>
    </xdr:to>
    <xdr:cxnSp macro="">
      <xdr:nvCxnSpPr>
        <xdr:cNvPr id="79185" name="직선 화살표 연결선 79184"/>
        <xdr:cNvCxnSpPr/>
      </xdr:nvCxnSpPr>
      <xdr:spPr>
        <a:xfrm>
          <a:off x="10414907" y="4095750"/>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24</xdr:row>
      <xdr:rowOff>19050</xdr:rowOff>
    </xdr:from>
    <xdr:to>
      <xdr:col>32</xdr:col>
      <xdr:colOff>82913</xdr:colOff>
      <xdr:row>24</xdr:row>
      <xdr:rowOff>133350</xdr:rowOff>
    </xdr:to>
    <xdr:sp macro="" textlink="">
      <xdr:nvSpPr>
        <xdr:cNvPr id="79186" name="21"/>
        <xdr:cNvSpPr/>
      </xdr:nvSpPr>
      <xdr:spPr>
        <a:xfrm>
          <a:off x="10272032" y="38862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24</xdr:row>
      <xdr:rowOff>76200</xdr:rowOff>
    </xdr:from>
    <xdr:to>
      <xdr:col>32</xdr:col>
      <xdr:colOff>81643</xdr:colOff>
      <xdr:row>24</xdr:row>
      <xdr:rowOff>76200</xdr:rowOff>
    </xdr:to>
    <xdr:cxnSp macro="">
      <xdr:nvCxnSpPr>
        <xdr:cNvPr id="79187" name="직선 화살표 연결선 79186"/>
        <xdr:cNvCxnSpPr/>
      </xdr:nvCxnSpPr>
      <xdr:spPr>
        <a:xfrm>
          <a:off x="10272032" y="39433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23</xdr:row>
      <xdr:rowOff>19050</xdr:rowOff>
    </xdr:from>
    <xdr:to>
      <xdr:col>32</xdr:col>
      <xdr:colOff>82913</xdr:colOff>
      <xdr:row>23</xdr:row>
      <xdr:rowOff>133350</xdr:rowOff>
    </xdr:to>
    <xdr:sp macro="" textlink="">
      <xdr:nvSpPr>
        <xdr:cNvPr id="79188" name="20"/>
        <xdr:cNvSpPr/>
      </xdr:nvSpPr>
      <xdr:spPr>
        <a:xfrm>
          <a:off x="10272032" y="37338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23</xdr:row>
      <xdr:rowOff>76200</xdr:rowOff>
    </xdr:from>
    <xdr:to>
      <xdr:col>32</xdr:col>
      <xdr:colOff>81643</xdr:colOff>
      <xdr:row>23</xdr:row>
      <xdr:rowOff>76200</xdr:rowOff>
    </xdr:to>
    <xdr:cxnSp macro="">
      <xdr:nvCxnSpPr>
        <xdr:cNvPr id="79189" name="직선 화살표 연결선 79188"/>
        <xdr:cNvCxnSpPr/>
      </xdr:nvCxnSpPr>
      <xdr:spPr>
        <a:xfrm>
          <a:off x="10272032" y="37909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22</xdr:row>
      <xdr:rowOff>19050</xdr:rowOff>
    </xdr:from>
    <xdr:to>
      <xdr:col>43</xdr:col>
      <xdr:colOff>42091</xdr:colOff>
      <xdr:row>22</xdr:row>
      <xdr:rowOff>133350</xdr:rowOff>
    </xdr:to>
    <xdr:sp macro="" textlink="">
      <xdr:nvSpPr>
        <xdr:cNvPr id="79190" name="19"/>
        <xdr:cNvSpPr/>
      </xdr:nvSpPr>
      <xdr:spPr>
        <a:xfrm>
          <a:off x="11802835" y="3581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22</xdr:row>
      <xdr:rowOff>76200</xdr:rowOff>
    </xdr:from>
    <xdr:to>
      <xdr:col>42</xdr:col>
      <xdr:colOff>20410</xdr:colOff>
      <xdr:row>22</xdr:row>
      <xdr:rowOff>76200</xdr:rowOff>
    </xdr:to>
    <xdr:cxnSp macro="">
      <xdr:nvCxnSpPr>
        <xdr:cNvPr id="79191" name="직선 화살표 연결선 79190"/>
        <xdr:cNvCxnSpPr/>
      </xdr:nvCxnSpPr>
      <xdr:spPr>
        <a:xfrm>
          <a:off x="11802835"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21</xdr:row>
      <xdr:rowOff>19050</xdr:rowOff>
    </xdr:from>
    <xdr:to>
      <xdr:col>43</xdr:col>
      <xdr:colOff>42091</xdr:colOff>
      <xdr:row>21</xdr:row>
      <xdr:rowOff>133350</xdr:rowOff>
    </xdr:to>
    <xdr:sp macro="" textlink="">
      <xdr:nvSpPr>
        <xdr:cNvPr id="79192" name="18"/>
        <xdr:cNvSpPr/>
      </xdr:nvSpPr>
      <xdr:spPr>
        <a:xfrm>
          <a:off x="11802835" y="3429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21</xdr:row>
      <xdr:rowOff>76200</xdr:rowOff>
    </xdr:from>
    <xdr:to>
      <xdr:col>42</xdr:col>
      <xdr:colOff>20410</xdr:colOff>
      <xdr:row>21</xdr:row>
      <xdr:rowOff>76200</xdr:rowOff>
    </xdr:to>
    <xdr:cxnSp macro="">
      <xdr:nvCxnSpPr>
        <xdr:cNvPr id="79193" name="직선 화살표 연결선 79192"/>
        <xdr:cNvCxnSpPr/>
      </xdr:nvCxnSpPr>
      <xdr:spPr>
        <a:xfrm>
          <a:off x="11802835"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20</xdr:row>
      <xdr:rowOff>19050</xdr:rowOff>
    </xdr:from>
    <xdr:to>
      <xdr:col>43</xdr:col>
      <xdr:colOff>42091</xdr:colOff>
      <xdr:row>20</xdr:row>
      <xdr:rowOff>133350</xdr:rowOff>
    </xdr:to>
    <xdr:sp macro="" textlink="">
      <xdr:nvSpPr>
        <xdr:cNvPr id="79194" name="17"/>
        <xdr:cNvSpPr/>
      </xdr:nvSpPr>
      <xdr:spPr>
        <a:xfrm>
          <a:off x="11802835" y="32766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20</xdr:row>
      <xdr:rowOff>76200</xdr:rowOff>
    </xdr:from>
    <xdr:to>
      <xdr:col>42</xdr:col>
      <xdr:colOff>20410</xdr:colOff>
      <xdr:row>20</xdr:row>
      <xdr:rowOff>76200</xdr:rowOff>
    </xdr:to>
    <xdr:cxnSp macro="">
      <xdr:nvCxnSpPr>
        <xdr:cNvPr id="79195" name="직선 화살표 연결선 79194"/>
        <xdr:cNvCxnSpPr/>
      </xdr:nvCxnSpPr>
      <xdr:spPr>
        <a:xfrm>
          <a:off x="11802835"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19</xdr:row>
      <xdr:rowOff>19050</xdr:rowOff>
    </xdr:from>
    <xdr:to>
      <xdr:col>41</xdr:col>
      <xdr:colOff>82913</xdr:colOff>
      <xdr:row>19</xdr:row>
      <xdr:rowOff>133350</xdr:rowOff>
    </xdr:to>
    <xdr:sp macro="" textlink="">
      <xdr:nvSpPr>
        <xdr:cNvPr id="79196" name="16"/>
        <xdr:cNvSpPr/>
      </xdr:nvSpPr>
      <xdr:spPr>
        <a:xfrm>
          <a:off x="10986407" y="3124200"/>
          <a:ext cx="7360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19</xdr:row>
      <xdr:rowOff>76200</xdr:rowOff>
    </xdr:from>
    <xdr:to>
      <xdr:col>41</xdr:col>
      <xdr:colOff>81643</xdr:colOff>
      <xdr:row>19</xdr:row>
      <xdr:rowOff>76200</xdr:rowOff>
    </xdr:to>
    <xdr:cxnSp macro="">
      <xdr:nvCxnSpPr>
        <xdr:cNvPr id="79197" name="직선 화살표 연결선 79196"/>
        <xdr:cNvCxnSpPr/>
      </xdr:nvCxnSpPr>
      <xdr:spPr>
        <a:xfrm>
          <a:off x="10986407" y="31813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18</xdr:row>
      <xdr:rowOff>19050</xdr:rowOff>
    </xdr:from>
    <xdr:to>
      <xdr:col>41</xdr:col>
      <xdr:colOff>82913</xdr:colOff>
      <xdr:row>18</xdr:row>
      <xdr:rowOff>133350</xdr:rowOff>
    </xdr:to>
    <xdr:sp macro="" textlink="">
      <xdr:nvSpPr>
        <xdr:cNvPr id="79198" name="15"/>
        <xdr:cNvSpPr/>
      </xdr:nvSpPr>
      <xdr:spPr>
        <a:xfrm>
          <a:off x="10986407" y="2971800"/>
          <a:ext cx="7360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18</xdr:row>
      <xdr:rowOff>76200</xdr:rowOff>
    </xdr:from>
    <xdr:to>
      <xdr:col>41</xdr:col>
      <xdr:colOff>81643</xdr:colOff>
      <xdr:row>18</xdr:row>
      <xdr:rowOff>76200</xdr:rowOff>
    </xdr:to>
    <xdr:cxnSp macro="">
      <xdr:nvCxnSpPr>
        <xdr:cNvPr id="79199" name="직선 화살표 연결선 79198"/>
        <xdr:cNvCxnSpPr/>
      </xdr:nvCxnSpPr>
      <xdr:spPr>
        <a:xfrm>
          <a:off x="10986407" y="30289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17</xdr:row>
      <xdr:rowOff>19050</xdr:rowOff>
    </xdr:from>
    <xdr:to>
      <xdr:col>41</xdr:col>
      <xdr:colOff>82913</xdr:colOff>
      <xdr:row>17</xdr:row>
      <xdr:rowOff>133350</xdr:rowOff>
    </xdr:to>
    <xdr:sp macro="" textlink="">
      <xdr:nvSpPr>
        <xdr:cNvPr id="79200" name="14"/>
        <xdr:cNvSpPr/>
      </xdr:nvSpPr>
      <xdr:spPr>
        <a:xfrm>
          <a:off x="10986407" y="2819400"/>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17</xdr:row>
      <xdr:rowOff>76200</xdr:rowOff>
    </xdr:from>
    <xdr:to>
      <xdr:col>41</xdr:col>
      <xdr:colOff>81643</xdr:colOff>
      <xdr:row>17</xdr:row>
      <xdr:rowOff>76200</xdr:rowOff>
    </xdr:to>
    <xdr:cxnSp macro="">
      <xdr:nvCxnSpPr>
        <xdr:cNvPr id="79201" name="직선 화살표 연결선 79200"/>
        <xdr:cNvCxnSpPr/>
      </xdr:nvCxnSpPr>
      <xdr:spPr>
        <a:xfrm>
          <a:off x="10986407" y="28765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16</xdr:row>
      <xdr:rowOff>19050</xdr:rowOff>
    </xdr:from>
    <xdr:to>
      <xdr:col>41</xdr:col>
      <xdr:colOff>82913</xdr:colOff>
      <xdr:row>16</xdr:row>
      <xdr:rowOff>133350</xdr:rowOff>
    </xdr:to>
    <xdr:sp macro="" textlink="">
      <xdr:nvSpPr>
        <xdr:cNvPr id="79202" name="13"/>
        <xdr:cNvSpPr/>
      </xdr:nvSpPr>
      <xdr:spPr>
        <a:xfrm>
          <a:off x="10986407" y="2667000"/>
          <a:ext cx="7360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16</xdr:row>
      <xdr:rowOff>76200</xdr:rowOff>
    </xdr:from>
    <xdr:to>
      <xdr:col>41</xdr:col>
      <xdr:colOff>81643</xdr:colOff>
      <xdr:row>16</xdr:row>
      <xdr:rowOff>76200</xdr:rowOff>
    </xdr:to>
    <xdr:cxnSp macro="">
      <xdr:nvCxnSpPr>
        <xdr:cNvPr id="79203" name="직선 화살표 연결선 79202"/>
        <xdr:cNvCxnSpPr/>
      </xdr:nvCxnSpPr>
      <xdr:spPr>
        <a:xfrm>
          <a:off x="10986407" y="27241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15</xdr:row>
      <xdr:rowOff>19050</xdr:rowOff>
    </xdr:from>
    <xdr:to>
      <xdr:col>41</xdr:col>
      <xdr:colOff>82913</xdr:colOff>
      <xdr:row>15</xdr:row>
      <xdr:rowOff>133350</xdr:rowOff>
    </xdr:to>
    <xdr:sp macro="" textlink="">
      <xdr:nvSpPr>
        <xdr:cNvPr id="79204" name="12"/>
        <xdr:cNvSpPr/>
      </xdr:nvSpPr>
      <xdr:spPr>
        <a:xfrm>
          <a:off x="10986407" y="2514600"/>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15</xdr:row>
      <xdr:rowOff>76200</xdr:rowOff>
    </xdr:from>
    <xdr:to>
      <xdr:col>41</xdr:col>
      <xdr:colOff>81643</xdr:colOff>
      <xdr:row>15</xdr:row>
      <xdr:rowOff>76200</xdr:rowOff>
    </xdr:to>
    <xdr:cxnSp macro="">
      <xdr:nvCxnSpPr>
        <xdr:cNvPr id="79205" name="직선 화살표 연결선 79204"/>
        <xdr:cNvCxnSpPr/>
      </xdr:nvCxnSpPr>
      <xdr:spPr>
        <a:xfrm>
          <a:off x="10986407" y="25717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14</xdr:row>
      <xdr:rowOff>19050</xdr:rowOff>
    </xdr:from>
    <xdr:to>
      <xdr:col>31</xdr:col>
      <xdr:colOff>82913</xdr:colOff>
      <xdr:row>14</xdr:row>
      <xdr:rowOff>133350</xdr:rowOff>
    </xdr:to>
    <xdr:sp macro="" textlink="">
      <xdr:nvSpPr>
        <xdr:cNvPr id="79206" name="11"/>
        <xdr:cNvSpPr/>
      </xdr:nvSpPr>
      <xdr:spPr>
        <a:xfrm>
          <a:off x="10272032" y="23622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14</xdr:row>
      <xdr:rowOff>76200</xdr:rowOff>
    </xdr:from>
    <xdr:to>
      <xdr:col>31</xdr:col>
      <xdr:colOff>81643</xdr:colOff>
      <xdr:row>14</xdr:row>
      <xdr:rowOff>76200</xdr:rowOff>
    </xdr:to>
    <xdr:cxnSp macro="">
      <xdr:nvCxnSpPr>
        <xdr:cNvPr id="79207" name="직선 화살표 연결선 79206"/>
        <xdr:cNvCxnSpPr/>
      </xdr:nvCxnSpPr>
      <xdr:spPr>
        <a:xfrm>
          <a:off x="10272032" y="2419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13</xdr:row>
      <xdr:rowOff>19050</xdr:rowOff>
    </xdr:from>
    <xdr:to>
      <xdr:col>31</xdr:col>
      <xdr:colOff>82913</xdr:colOff>
      <xdr:row>13</xdr:row>
      <xdr:rowOff>133350</xdr:rowOff>
    </xdr:to>
    <xdr:sp macro="" textlink="">
      <xdr:nvSpPr>
        <xdr:cNvPr id="79208" name="10"/>
        <xdr:cNvSpPr/>
      </xdr:nvSpPr>
      <xdr:spPr>
        <a:xfrm>
          <a:off x="10272032" y="22098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13</xdr:row>
      <xdr:rowOff>76200</xdr:rowOff>
    </xdr:from>
    <xdr:to>
      <xdr:col>31</xdr:col>
      <xdr:colOff>81643</xdr:colOff>
      <xdr:row>13</xdr:row>
      <xdr:rowOff>76200</xdr:rowOff>
    </xdr:to>
    <xdr:cxnSp macro="">
      <xdr:nvCxnSpPr>
        <xdr:cNvPr id="79209" name="직선 화살표 연결선 79208"/>
        <xdr:cNvCxnSpPr/>
      </xdr:nvCxnSpPr>
      <xdr:spPr>
        <a:xfrm>
          <a:off x="10272032" y="2266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12</xdr:row>
      <xdr:rowOff>19050</xdr:rowOff>
    </xdr:from>
    <xdr:to>
      <xdr:col>31</xdr:col>
      <xdr:colOff>82913</xdr:colOff>
      <xdr:row>12</xdr:row>
      <xdr:rowOff>133350</xdr:rowOff>
    </xdr:to>
    <xdr:sp macro="" textlink="">
      <xdr:nvSpPr>
        <xdr:cNvPr id="79210" name="9"/>
        <xdr:cNvSpPr/>
      </xdr:nvSpPr>
      <xdr:spPr>
        <a:xfrm>
          <a:off x="10272032" y="20574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12</xdr:row>
      <xdr:rowOff>76200</xdr:rowOff>
    </xdr:from>
    <xdr:to>
      <xdr:col>31</xdr:col>
      <xdr:colOff>81643</xdr:colOff>
      <xdr:row>12</xdr:row>
      <xdr:rowOff>76200</xdr:rowOff>
    </xdr:to>
    <xdr:cxnSp macro="">
      <xdr:nvCxnSpPr>
        <xdr:cNvPr id="79211" name="직선 화살표 연결선 79210"/>
        <xdr:cNvCxnSpPr/>
      </xdr:nvCxnSpPr>
      <xdr:spPr>
        <a:xfrm>
          <a:off x="10272032" y="2114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xdr:row>
      <xdr:rowOff>19050</xdr:rowOff>
    </xdr:from>
    <xdr:to>
      <xdr:col>31</xdr:col>
      <xdr:colOff>82913</xdr:colOff>
      <xdr:row>11</xdr:row>
      <xdr:rowOff>133350</xdr:rowOff>
    </xdr:to>
    <xdr:sp macro="" textlink="">
      <xdr:nvSpPr>
        <xdr:cNvPr id="79212" name="8"/>
        <xdr:cNvSpPr/>
      </xdr:nvSpPr>
      <xdr:spPr>
        <a:xfrm>
          <a:off x="10272032" y="19050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xdr:row>
      <xdr:rowOff>76200</xdr:rowOff>
    </xdr:from>
    <xdr:to>
      <xdr:col>31</xdr:col>
      <xdr:colOff>81643</xdr:colOff>
      <xdr:row>11</xdr:row>
      <xdr:rowOff>76200</xdr:rowOff>
    </xdr:to>
    <xdr:cxnSp macro="">
      <xdr:nvCxnSpPr>
        <xdr:cNvPr id="79213" name="직선 화살표 연결선 79212"/>
        <xdr:cNvCxnSpPr/>
      </xdr:nvCxnSpPr>
      <xdr:spPr>
        <a:xfrm>
          <a:off x="10272032" y="1962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10</xdr:row>
      <xdr:rowOff>19050</xdr:rowOff>
    </xdr:from>
    <xdr:to>
      <xdr:col>31</xdr:col>
      <xdr:colOff>82913</xdr:colOff>
      <xdr:row>10</xdr:row>
      <xdr:rowOff>133350</xdr:rowOff>
    </xdr:to>
    <xdr:sp macro="" textlink="">
      <xdr:nvSpPr>
        <xdr:cNvPr id="79214" name="7"/>
        <xdr:cNvSpPr/>
      </xdr:nvSpPr>
      <xdr:spPr>
        <a:xfrm>
          <a:off x="10272032" y="17526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10</xdr:row>
      <xdr:rowOff>76200</xdr:rowOff>
    </xdr:from>
    <xdr:to>
      <xdr:col>31</xdr:col>
      <xdr:colOff>81643</xdr:colOff>
      <xdr:row>10</xdr:row>
      <xdr:rowOff>76200</xdr:rowOff>
    </xdr:to>
    <xdr:cxnSp macro="">
      <xdr:nvCxnSpPr>
        <xdr:cNvPr id="79215" name="직선 화살표 연결선 79214"/>
        <xdr:cNvCxnSpPr/>
      </xdr:nvCxnSpPr>
      <xdr:spPr>
        <a:xfrm>
          <a:off x="10272032" y="1809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9</xdr:row>
      <xdr:rowOff>19050</xdr:rowOff>
    </xdr:from>
    <xdr:to>
      <xdr:col>31</xdr:col>
      <xdr:colOff>82913</xdr:colOff>
      <xdr:row>9</xdr:row>
      <xdr:rowOff>133350</xdr:rowOff>
    </xdr:to>
    <xdr:sp macro="" textlink="">
      <xdr:nvSpPr>
        <xdr:cNvPr id="79216" name="6"/>
        <xdr:cNvSpPr/>
      </xdr:nvSpPr>
      <xdr:spPr>
        <a:xfrm>
          <a:off x="10272032" y="16002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9</xdr:row>
      <xdr:rowOff>76200</xdr:rowOff>
    </xdr:from>
    <xdr:to>
      <xdr:col>31</xdr:col>
      <xdr:colOff>81643</xdr:colOff>
      <xdr:row>9</xdr:row>
      <xdr:rowOff>76200</xdr:rowOff>
    </xdr:to>
    <xdr:cxnSp macro="">
      <xdr:nvCxnSpPr>
        <xdr:cNvPr id="79217" name="직선 화살표 연결선 79216"/>
        <xdr:cNvCxnSpPr/>
      </xdr:nvCxnSpPr>
      <xdr:spPr>
        <a:xfrm>
          <a:off x="10272032" y="1657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xdr:row>
      <xdr:rowOff>19050</xdr:rowOff>
    </xdr:from>
    <xdr:to>
      <xdr:col>31</xdr:col>
      <xdr:colOff>82913</xdr:colOff>
      <xdr:row>8</xdr:row>
      <xdr:rowOff>133350</xdr:rowOff>
    </xdr:to>
    <xdr:sp macro="" textlink="">
      <xdr:nvSpPr>
        <xdr:cNvPr id="79218" name="5"/>
        <xdr:cNvSpPr/>
      </xdr:nvSpPr>
      <xdr:spPr>
        <a:xfrm>
          <a:off x="10272032" y="14478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xdr:row>
      <xdr:rowOff>76200</xdr:rowOff>
    </xdr:from>
    <xdr:to>
      <xdr:col>31</xdr:col>
      <xdr:colOff>81643</xdr:colOff>
      <xdr:row>8</xdr:row>
      <xdr:rowOff>76200</xdr:rowOff>
    </xdr:to>
    <xdr:cxnSp macro="">
      <xdr:nvCxnSpPr>
        <xdr:cNvPr id="79219" name="직선 화살표 연결선 79218"/>
        <xdr:cNvCxnSpPr/>
      </xdr:nvCxnSpPr>
      <xdr:spPr>
        <a:xfrm>
          <a:off x="10272032" y="1504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xdr:row>
      <xdr:rowOff>19050</xdr:rowOff>
    </xdr:from>
    <xdr:to>
      <xdr:col>31</xdr:col>
      <xdr:colOff>82913</xdr:colOff>
      <xdr:row>7</xdr:row>
      <xdr:rowOff>133350</xdr:rowOff>
    </xdr:to>
    <xdr:sp macro="" textlink="">
      <xdr:nvSpPr>
        <xdr:cNvPr id="79220" name="4"/>
        <xdr:cNvSpPr/>
      </xdr:nvSpPr>
      <xdr:spPr>
        <a:xfrm>
          <a:off x="10272032" y="1295400"/>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xdr:row>
      <xdr:rowOff>76200</xdr:rowOff>
    </xdr:from>
    <xdr:to>
      <xdr:col>31</xdr:col>
      <xdr:colOff>81643</xdr:colOff>
      <xdr:row>7</xdr:row>
      <xdr:rowOff>76200</xdr:rowOff>
    </xdr:to>
    <xdr:cxnSp macro="">
      <xdr:nvCxnSpPr>
        <xdr:cNvPr id="79221" name="직선 화살표 연결선 79220"/>
        <xdr:cNvCxnSpPr/>
      </xdr:nvCxnSpPr>
      <xdr:spPr>
        <a:xfrm>
          <a:off x="10272032" y="1352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xdr:row>
      <xdr:rowOff>19050</xdr:rowOff>
    </xdr:from>
    <xdr:to>
      <xdr:col>32</xdr:col>
      <xdr:colOff>82913</xdr:colOff>
      <xdr:row>6</xdr:row>
      <xdr:rowOff>133350</xdr:rowOff>
    </xdr:to>
    <xdr:sp macro="" textlink="">
      <xdr:nvSpPr>
        <xdr:cNvPr id="79222" name="3"/>
        <xdr:cNvSpPr/>
      </xdr:nvSpPr>
      <xdr:spPr>
        <a:xfrm>
          <a:off x="10272032" y="11430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xdr:row>
      <xdr:rowOff>76200</xdr:rowOff>
    </xdr:from>
    <xdr:to>
      <xdr:col>32</xdr:col>
      <xdr:colOff>81643</xdr:colOff>
      <xdr:row>6</xdr:row>
      <xdr:rowOff>76200</xdr:rowOff>
    </xdr:to>
    <xdr:cxnSp macro="">
      <xdr:nvCxnSpPr>
        <xdr:cNvPr id="79223" name="직선 화살표 연결선 79222"/>
        <xdr:cNvCxnSpPr/>
      </xdr:nvCxnSpPr>
      <xdr:spPr>
        <a:xfrm>
          <a:off x="10272032" y="12001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5</xdr:row>
      <xdr:rowOff>19050</xdr:rowOff>
    </xdr:from>
    <xdr:to>
      <xdr:col>32</xdr:col>
      <xdr:colOff>82913</xdr:colOff>
      <xdr:row>5</xdr:row>
      <xdr:rowOff>133350</xdr:rowOff>
    </xdr:to>
    <xdr:sp macro="" textlink="">
      <xdr:nvSpPr>
        <xdr:cNvPr id="79224" name="2"/>
        <xdr:cNvSpPr/>
      </xdr:nvSpPr>
      <xdr:spPr>
        <a:xfrm>
          <a:off x="10272032" y="990600"/>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5</xdr:row>
      <xdr:rowOff>76200</xdr:rowOff>
    </xdr:from>
    <xdr:to>
      <xdr:col>32</xdr:col>
      <xdr:colOff>81643</xdr:colOff>
      <xdr:row>5</xdr:row>
      <xdr:rowOff>76200</xdr:rowOff>
    </xdr:to>
    <xdr:cxnSp macro="">
      <xdr:nvCxnSpPr>
        <xdr:cNvPr id="79225" name="직선 화살표 연결선 79224"/>
        <xdr:cNvCxnSpPr/>
      </xdr:nvCxnSpPr>
      <xdr:spPr>
        <a:xfrm>
          <a:off x="10272032" y="1047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4</xdr:row>
      <xdr:rowOff>19050</xdr:rowOff>
    </xdr:from>
    <xdr:to>
      <xdr:col>43</xdr:col>
      <xdr:colOff>42092</xdr:colOff>
      <xdr:row>4</xdr:row>
      <xdr:rowOff>133350</xdr:rowOff>
    </xdr:to>
    <xdr:sp macro="" textlink="">
      <xdr:nvSpPr>
        <xdr:cNvPr id="79226" name="1"/>
        <xdr:cNvSpPr/>
      </xdr:nvSpPr>
      <xdr:spPr>
        <a:xfrm>
          <a:off x="10272032" y="838200"/>
          <a:ext cx="16953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4</xdr:row>
      <xdr:rowOff>76200</xdr:rowOff>
    </xdr:from>
    <xdr:to>
      <xdr:col>41</xdr:col>
      <xdr:colOff>125294</xdr:colOff>
      <xdr:row>4</xdr:row>
      <xdr:rowOff>76200</xdr:rowOff>
    </xdr:to>
    <xdr:cxnSp macro="">
      <xdr:nvCxnSpPr>
        <xdr:cNvPr id="79227" name="직선 화살표 연결선 79226"/>
        <xdr:cNvCxnSpPr/>
      </xdr:nvCxnSpPr>
      <xdr:spPr>
        <a:xfrm>
          <a:off x="10272032" y="895350"/>
          <a:ext cx="14928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5"/>
  <sheetViews>
    <sheetView showGridLines="0" topLeftCell="A13" zoomScale="90" zoomScaleNormal="90" workbookViewId="0">
      <selection sqref="A1:G2"/>
    </sheetView>
  </sheetViews>
  <sheetFormatPr defaultRowHeight="15.75"/>
  <cols>
    <col min="1" max="1" width="5.875" style="85" customWidth="1"/>
    <col min="2" max="2" width="29.875" style="107" customWidth="1"/>
    <col min="3" max="3" width="1.2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38" t="s">
        <v>1376</v>
      </c>
      <c r="B1" s="239"/>
      <c r="C1" s="239"/>
      <c r="D1" s="239"/>
      <c r="E1" s="239"/>
      <c r="F1" s="239"/>
      <c r="G1" s="239"/>
      <c r="H1" s="123"/>
      <c r="I1" s="123"/>
      <c r="J1" s="242" t="s">
        <v>727</v>
      </c>
      <c r="K1" s="243"/>
      <c r="L1" s="243"/>
      <c r="M1" s="124"/>
    </row>
    <row r="2" spans="1:13" s="86" customFormat="1" ht="33.75" customHeight="1">
      <c r="A2" s="240"/>
      <c r="B2" s="241"/>
      <c r="C2" s="241"/>
      <c r="D2" s="241"/>
      <c r="E2" s="241"/>
      <c r="F2" s="241"/>
      <c r="G2" s="241"/>
      <c r="H2" s="236" t="s">
        <v>1377</v>
      </c>
      <c r="I2" s="237"/>
      <c r="J2" s="237"/>
      <c r="K2" s="237"/>
      <c r="L2" s="237"/>
      <c r="M2" s="125"/>
    </row>
    <row r="4" spans="1:13" ht="17.25" customHeight="1">
      <c r="B4" s="244" t="s">
        <v>1378</v>
      </c>
      <c r="C4" s="245"/>
      <c r="D4" s="245"/>
      <c r="E4" s="245"/>
      <c r="F4" s="245"/>
      <c r="G4" s="245"/>
      <c r="H4" s="245"/>
      <c r="I4" s="245"/>
      <c r="J4" s="245"/>
      <c r="K4" s="245"/>
      <c r="L4" s="245"/>
    </row>
    <row r="5" spans="1:13" ht="27.75" customHeight="1">
      <c r="B5" s="245"/>
      <c r="C5" s="245"/>
      <c r="D5" s="245"/>
      <c r="E5" s="245"/>
      <c r="F5" s="245"/>
      <c r="G5" s="245"/>
      <c r="H5" s="245"/>
      <c r="I5" s="245"/>
      <c r="J5" s="245"/>
      <c r="K5" s="245"/>
      <c r="L5" s="245"/>
    </row>
    <row r="6" spans="1:13" s="86" customFormat="1" ht="12.75">
      <c r="B6" s="87"/>
    </row>
    <row r="7" spans="1:13" s="86" customFormat="1" ht="18.75">
      <c r="B7" s="88" t="s">
        <v>1379</v>
      </c>
      <c r="D7" s="89"/>
    </row>
    <row r="8" spans="1:13" s="86" customFormat="1" ht="7.5" customHeight="1">
      <c r="B8" s="87"/>
    </row>
    <row r="9" spans="1:13" s="86" customFormat="1" ht="29.25" customHeight="1" thickBot="1">
      <c r="A9" s="90"/>
      <c r="B9" s="91" t="s">
        <v>449</v>
      </c>
      <c r="C9" s="90"/>
      <c r="D9" s="246" t="s">
        <v>1380</v>
      </c>
      <c r="E9" s="246"/>
      <c r="F9" s="246"/>
      <c r="G9" s="246"/>
      <c r="H9" s="246"/>
      <c r="I9" s="246"/>
      <c r="J9" s="246"/>
      <c r="K9" s="246"/>
      <c r="L9" s="246"/>
    </row>
    <row r="10" spans="1:13" s="86" customFormat="1" ht="29.25" customHeight="1" thickTop="1" thickBot="1">
      <c r="A10" s="90"/>
      <c r="B10" s="92" t="s">
        <v>450</v>
      </c>
      <c r="C10" s="90"/>
      <c r="D10" s="246" t="s">
        <v>1381</v>
      </c>
      <c r="E10" s="246"/>
      <c r="F10" s="246"/>
      <c r="G10" s="246"/>
      <c r="H10" s="246"/>
      <c r="I10" s="246"/>
      <c r="J10" s="246"/>
      <c r="K10" s="246"/>
      <c r="L10" s="246"/>
    </row>
    <row r="11" spans="1:13" s="86" customFormat="1" ht="29.25" customHeight="1" thickTop="1" thickBot="1">
      <c r="A11" s="90"/>
      <c r="B11" s="93" t="s">
        <v>451</v>
      </c>
      <c r="C11" s="90"/>
      <c r="D11" s="246" t="s">
        <v>1382</v>
      </c>
      <c r="E11" s="246"/>
      <c r="F11" s="246"/>
      <c r="G11" s="246"/>
      <c r="H11" s="246"/>
      <c r="I11" s="246"/>
      <c r="J11" s="246"/>
      <c r="K11" s="246"/>
      <c r="L11" s="246"/>
    </row>
    <row r="12" spans="1:13" s="86" customFormat="1" ht="29.25" customHeight="1" thickTop="1" thickBot="1">
      <c r="A12" s="90"/>
      <c r="B12" s="94" t="s">
        <v>452</v>
      </c>
      <c r="C12" s="90"/>
      <c r="D12" s="246" t="s">
        <v>1383</v>
      </c>
      <c r="E12" s="246"/>
      <c r="F12" s="246"/>
      <c r="G12" s="246"/>
      <c r="H12" s="246"/>
      <c r="I12" s="246"/>
      <c r="J12" s="246"/>
      <c r="K12" s="246"/>
      <c r="L12" s="246"/>
    </row>
    <row r="13" spans="1:13" s="86" customFormat="1" ht="29.25" customHeight="1" thickTop="1" thickBot="1">
      <c r="A13" s="90"/>
      <c r="B13" s="95" t="s">
        <v>537</v>
      </c>
      <c r="C13" s="90"/>
      <c r="D13" s="246" t="s">
        <v>1384</v>
      </c>
      <c r="E13" s="246"/>
      <c r="F13" s="246"/>
      <c r="G13" s="246"/>
      <c r="H13" s="246"/>
      <c r="I13" s="246"/>
      <c r="J13" s="246"/>
      <c r="K13" s="246"/>
      <c r="L13" s="246"/>
    </row>
    <row r="14" spans="1:13" s="86" customFormat="1" ht="29.25" customHeight="1" thickTop="1" thickBot="1">
      <c r="A14" s="90"/>
      <c r="B14" s="96" t="s">
        <v>453</v>
      </c>
      <c r="C14" s="90"/>
      <c r="D14" s="246" t="s">
        <v>1385</v>
      </c>
      <c r="E14" s="246"/>
      <c r="F14" s="246"/>
      <c r="G14" s="246"/>
      <c r="H14" s="246"/>
      <c r="I14" s="246"/>
      <c r="J14" s="246"/>
      <c r="K14" s="246"/>
      <c r="L14" s="246"/>
    </row>
    <row r="15" spans="1:13" ht="16.5" thickTop="1">
      <c r="A15" s="97"/>
      <c r="B15" s="98"/>
      <c r="C15" s="97"/>
      <c r="D15" s="99"/>
      <c r="E15" s="99"/>
      <c r="F15" s="99"/>
      <c r="G15" s="99"/>
      <c r="H15" s="99"/>
      <c r="I15" s="99"/>
      <c r="J15" s="99"/>
      <c r="K15" s="99"/>
      <c r="L15" s="99"/>
    </row>
    <row r="16" spans="1:13" s="86" customFormat="1" ht="18.75">
      <c r="B16" s="88" t="s">
        <v>1386</v>
      </c>
      <c r="D16" s="89"/>
    </row>
    <row r="17" spans="2:12" s="86" customFormat="1" ht="5.25" customHeight="1">
      <c r="B17" s="100"/>
      <c r="D17" s="89"/>
    </row>
    <row r="18" spans="2:12" s="86" customFormat="1" ht="26.25" customHeight="1" thickBot="1">
      <c r="B18" s="101" t="s">
        <v>1387</v>
      </c>
      <c r="D18" s="234" t="s">
        <v>1399</v>
      </c>
      <c r="E18" s="234"/>
      <c r="F18" s="234"/>
      <c r="G18" s="234"/>
      <c r="H18" s="234"/>
      <c r="I18" s="234"/>
      <c r="J18" s="234"/>
      <c r="K18" s="234"/>
      <c r="L18" s="108" t="s">
        <v>1411</v>
      </c>
    </row>
    <row r="19" spans="2:12" s="86" customFormat="1" ht="53.25" customHeight="1" thickTop="1" thickBot="1">
      <c r="B19" s="101" t="s">
        <v>559</v>
      </c>
      <c r="D19" s="234" t="s">
        <v>1400</v>
      </c>
      <c r="E19" s="234"/>
      <c r="F19" s="234"/>
      <c r="G19" s="234"/>
      <c r="H19" s="234"/>
      <c r="I19" s="234"/>
      <c r="J19" s="234"/>
      <c r="K19" s="234"/>
      <c r="L19" s="108" t="s">
        <v>1411</v>
      </c>
    </row>
    <row r="20" spans="2:12" s="86" customFormat="1" ht="26.25" customHeight="1" thickTop="1" thickBot="1">
      <c r="B20" s="101" t="s">
        <v>1388</v>
      </c>
      <c r="D20" s="234" t="s">
        <v>1401</v>
      </c>
      <c r="E20" s="234"/>
      <c r="F20" s="234"/>
      <c r="G20" s="234"/>
      <c r="H20" s="234"/>
      <c r="I20" s="234"/>
      <c r="J20" s="234"/>
      <c r="K20" s="234"/>
      <c r="L20" s="108" t="s">
        <v>1411</v>
      </c>
    </row>
    <row r="21" spans="2:12" s="86" customFormat="1" ht="26.25" customHeight="1" thickTop="1" thickBot="1">
      <c r="B21" s="101" t="s">
        <v>1389</v>
      </c>
      <c r="D21" s="234" t="s">
        <v>1402</v>
      </c>
      <c r="E21" s="234"/>
      <c r="F21" s="234"/>
      <c r="G21" s="234"/>
      <c r="H21" s="234"/>
      <c r="I21" s="234"/>
      <c r="J21" s="234"/>
      <c r="K21" s="234"/>
      <c r="L21" s="108" t="s">
        <v>1411</v>
      </c>
    </row>
    <row r="22" spans="2:12" s="86" customFormat="1" ht="33.75" customHeight="1" thickTop="1" thickBot="1">
      <c r="B22" s="101" t="s">
        <v>1390</v>
      </c>
      <c r="D22" s="234" t="s">
        <v>1403</v>
      </c>
      <c r="E22" s="234"/>
      <c r="F22" s="234"/>
      <c r="G22" s="234"/>
      <c r="H22" s="234"/>
      <c r="I22" s="234"/>
      <c r="J22" s="234"/>
      <c r="K22" s="234"/>
      <c r="L22" s="108" t="s">
        <v>1411</v>
      </c>
    </row>
    <row r="23" spans="2:12" s="86" customFormat="1" ht="52.5" customHeight="1" thickTop="1" thickBot="1">
      <c r="B23" s="101" t="s">
        <v>1391</v>
      </c>
      <c r="D23" s="234" t="s">
        <v>1404</v>
      </c>
      <c r="E23" s="234"/>
      <c r="F23" s="234"/>
      <c r="G23" s="234"/>
      <c r="H23" s="234"/>
      <c r="I23" s="234"/>
      <c r="J23" s="234"/>
      <c r="K23" s="234"/>
      <c r="L23" s="108" t="s">
        <v>1411</v>
      </c>
    </row>
    <row r="24" spans="2:12" s="86" customFormat="1" ht="47.25" customHeight="1" thickTop="1" thickBot="1">
      <c r="B24" s="101" t="s">
        <v>1392</v>
      </c>
      <c r="D24" s="234" t="s">
        <v>1405</v>
      </c>
      <c r="E24" s="234"/>
      <c r="F24" s="234"/>
      <c r="G24" s="234"/>
      <c r="H24" s="234"/>
      <c r="I24" s="234"/>
      <c r="J24" s="234"/>
      <c r="K24" s="234"/>
      <c r="L24" s="108" t="s">
        <v>1411</v>
      </c>
    </row>
    <row r="25" spans="2:12" s="86" customFormat="1" ht="33.75" customHeight="1" thickTop="1" thickBot="1">
      <c r="B25" s="101" t="s">
        <v>1393</v>
      </c>
      <c r="D25" s="234" t="s">
        <v>1406</v>
      </c>
      <c r="E25" s="234"/>
      <c r="F25" s="234"/>
      <c r="G25" s="234"/>
      <c r="H25" s="234"/>
      <c r="I25" s="234"/>
      <c r="J25" s="234"/>
      <c r="K25" s="234"/>
      <c r="L25" s="108" t="s">
        <v>1411</v>
      </c>
    </row>
    <row r="26" spans="2:12" s="86" customFormat="1" ht="53.25" customHeight="1" thickTop="1" thickBot="1">
      <c r="B26" s="101" t="s">
        <v>1394</v>
      </c>
      <c r="D26" s="234" t="s">
        <v>1407</v>
      </c>
      <c r="E26" s="234"/>
      <c r="F26" s="234"/>
      <c r="G26" s="234"/>
      <c r="H26" s="234"/>
      <c r="I26" s="234"/>
      <c r="J26" s="234"/>
      <c r="K26" s="234"/>
      <c r="L26" s="108" t="s">
        <v>1411</v>
      </c>
    </row>
    <row r="27" spans="2:12" s="86" customFormat="1" ht="35.25" customHeight="1" thickTop="1" thickBot="1">
      <c r="B27" s="101" t="s">
        <v>1395</v>
      </c>
      <c r="D27" s="234" t="s">
        <v>1408</v>
      </c>
      <c r="E27" s="234"/>
      <c r="F27" s="234"/>
      <c r="G27" s="234"/>
      <c r="H27" s="234"/>
      <c r="I27" s="234"/>
      <c r="J27" s="234"/>
      <c r="K27" s="234"/>
      <c r="L27" s="108" t="s">
        <v>1411</v>
      </c>
    </row>
    <row r="28" spans="2:12" s="86" customFormat="1" ht="43.5" customHeight="1" thickTop="1" thickBot="1">
      <c r="B28" s="101" t="s">
        <v>452</v>
      </c>
      <c r="D28" s="234" t="s">
        <v>1409</v>
      </c>
      <c r="E28" s="234"/>
      <c r="F28" s="234"/>
      <c r="G28" s="234"/>
      <c r="H28" s="234"/>
      <c r="I28" s="234"/>
      <c r="J28" s="234"/>
      <c r="K28" s="234"/>
      <c r="L28" s="108" t="s">
        <v>1411</v>
      </c>
    </row>
    <row r="29" spans="2:12" s="86" customFormat="1" ht="49.5" customHeight="1" thickTop="1" thickBot="1">
      <c r="B29" s="101" t="s">
        <v>1396</v>
      </c>
      <c r="D29" s="234" t="s">
        <v>1410</v>
      </c>
      <c r="E29" s="234"/>
      <c r="F29" s="234"/>
      <c r="G29" s="234"/>
      <c r="H29" s="234"/>
      <c r="I29" s="234"/>
      <c r="J29" s="234"/>
      <c r="K29" s="234"/>
      <c r="L29" s="108" t="s">
        <v>1411</v>
      </c>
    </row>
    <row r="30" spans="2:12" s="86" customFormat="1" ht="24.75" customHeight="1" thickTop="1" thickBot="1">
      <c r="B30" s="194" t="s">
        <v>1397</v>
      </c>
      <c r="D30" s="234" t="s">
        <v>1346</v>
      </c>
      <c r="E30" s="234"/>
      <c r="F30" s="234"/>
      <c r="G30" s="234"/>
      <c r="H30" s="234"/>
      <c r="I30" s="234"/>
      <c r="J30" s="234"/>
      <c r="K30" s="234"/>
      <c r="L30" s="108" t="s">
        <v>1411</v>
      </c>
    </row>
    <row r="31" spans="2:12" s="86" customFormat="1" ht="24.75" customHeight="1" thickTop="1" thickBot="1">
      <c r="B31" s="101" t="s">
        <v>1398</v>
      </c>
      <c r="D31" s="234" t="s">
        <v>1347</v>
      </c>
      <c r="E31" s="234"/>
      <c r="F31" s="234"/>
      <c r="G31" s="234"/>
      <c r="H31" s="234"/>
      <c r="I31" s="234"/>
      <c r="J31" s="234"/>
      <c r="K31" s="234"/>
      <c r="L31" s="108" t="s">
        <v>1411</v>
      </c>
    </row>
    <row r="32" spans="2:12" s="86" customFormat="1" ht="24.75" customHeight="1" thickTop="1" thickBot="1">
      <c r="B32" s="101" t="s">
        <v>1358</v>
      </c>
      <c r="D32" s="234" t="s">
        <v>1362</v>
      </c>
      <c r="E32" s="234"/>
      <c r="F32" s="234"/>
      <c r="G32" s="234"/>
      <c r="H32" s="234"/>
      <c r="I32" s="234"/>
      <c r="J32" s="234"/>
      <c r="K32" s="234"/>
      <c r="L32" s="108" t="s">
        <v>1411</v>
      </c>
    </row>
    <row r="33" spans="2:12" s="86" customFormat="1" thickTop="1">
      <c r="B33" s="102"/>
      <c r="D33" s="89"/>
      <c r="L33" s="90"/>
    </row>
    <row r="34" spans="2:12" s="86" customFormat="1" ht="18.75" customHeight="1">
      <c r="B34" s="103" t="s">
        <v>1412</v>
      </c>
      <c r="C34" s="104"/>
      <c r="D34" s="105"/>
      <c r="E34" s="104"/>
      <c r="F34" s="104"/>
      <c r="G34" s="104"/>
      <c r="H34" s="104"/>
      <c r="I34" s="104"/>
      <c r="J34" s="104"/>
      <c r="K34" s="104"/>
      <c r="L34" s="106"/>
    </row>
    <row r="35" spans="2:12" s="86" customFormat="1" ht="59.25" customHeight="1">
      <c r="B35" s="235" t="s">
        <v>1413</v>
      </c>
      <c r="C35" s="235"/>
      <c r="D35" s="235"/>
      <c r="E35" s="235"/>
      <c r="F35" s="235"/>
      <c r="G35" s="235"/>
      <c r="H35" s="235"/>
      <c r="I35" s="235"/>
      <c r="J35" s="235"/>
      <c r="K35" s="235"/>
      <c r="L35" s="23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R213"/>
  <sheetViews>
    <sheetView tabSelected="1" topLeftCell="A181" zoomScale="115" zoomScaleNormal="115" zoomScaleSheetLayoutView="115" zoomScalePageLayoutView="55" workbookViewId="0">
      <pane xSplit="14" topLeftCell="O1" activePane="topRight" state="frozen"/>
      <selection activeCell="D1" sqref="D1"/>
      <selection pane="topRight" activeCell="D5" sqref="D5"/>
    </sheetView>
  </sheetViews>
  <sheetFormatPr defaultColWidth="10" defaultRowHeight="12" customHeight="1" outlineLevelRow="5"/>
  <cols>
    <col min="1" max="1" width="9.125" style="154" hidden="1" customWidth="1"/>
    <col min="2" max="2" width="9" style="154" hidden="1" customWidth="1"/>
    <col min="3" max="3" width="8.375" style="154" hidden="1" customWidth="1"/>
    <col min="4" max="4" width="9.75" style="155" customWidth="1"/>
    <col min="5" max="13" width="2.75" style="156" customWidth="1"/>
    <col min="14" max="14" width="4.5" style="156" bestFit="1" customWidth="1"/>
    <col min="15" max="15" width="9.75" style="156" bestFit="1" customWidth="1"/>
    <col min="16" max="16" width="10.375" style="157" bestFit="1" customWidth="1"/>
    <col min="17" max="17" width="10" style="157" bestFit="1" customWidth="1"/>
    <col min="18" max="18" width="7.625" style="156" hidden="1" customWidth="1"/>
    <col min="19" max="19" width="7.375" style="158" customWidth="1"/>
    <col min="20" max="20" width="5" style="158" customWidth="1"/>
    <col min="21" max="21" width="6" style="158" customWidth="1"/>
    <col min="22" max="22" width="5.875" style="158" customWidth="1"/>
    <col min="23" max="24" width="9.75" style="157" hidden="1" customWidth="1"/>
    <col min="25" max="25" width="7.5" style="159" hidden="1" customWidth="1"/>
    <col min="26" max="26" width="6" style="160" hidden="1" customWidth="1"/>
    <col min="27" max="27" width="6.125" style="158" hidden="1" customWidth="1"/>
    <col min="28" max="28" width="12.875" style="156" customWidth="1"/>
    <col min="29" max="29" width="10.25" style="161" customWidth="1"/>
    <col min="30" max="30" width="8.375" style="162" bestFit="1" customWidth="1"/>
    <col min="31" max="31" width="9.125" style="163" customWidth="1"/>
    <col min="32" max="122" width="1.875" style="131" customWidth="1"/>
    <col min="123" max="16384" width="10" style="131"/>
  </cols>
  <sheetData>
    <row r="1" spans="1:122" s="143" customFormat="1" ht="24.95" customHeight="1">
      <c r="A1" s="132"/>
      <c r="B1" s="133"/>
      <c r="C1" s="134"/>
      <c r="D1" s="165" t="str" cm="1">
        <f t="array" aca="1" ref="D1" ca="1">xlgantt.ProjectName()</f>
        <v>Reference</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cm="1">
        <f t="array" aca="1" ref="AE1" ca="1">xlgantt.ProjectProgressString()</f>
        <v>2022-09-07~2022-11-28 [계획:100.00% 실적:99.58%]</v>
      </c>
      <c r="AF1" s="168" t="s">
        <v>1752</v>
      </c>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row>
    <row r="2" spans="1:122" s="143" customFormat="1" ht="15" customHeight="1">
      <c r="A2" s="144"/>
      <c r="B2" s="144"/>
      <c r="C2" s="145"/>
      <c r="D2" s="269"/>
      <c r="E2" s="269"/>
      <c r="F2" s="269"/>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cm="1">
        <f t="array" aca="1" ref="AE2" ca="1">xlgantt.CommentOnHeadArea()</f>
        <v>별(*)표시는 필수입력</v>
      </c>
      <c r="AF2" s="249" t="s">
        <v>728</v>
      </c>
      <c r="AG2" s="249"/>
      <c r="AH2" s="249"/>
      <c r="AI2" s="249"/>
      <c r="AJ2" s="249" t="s">
        <v>1526</v>
      </c>
      <c r="AK2" s="249"/>
      <c r="AL2" s="249"/>
      <c r="AM2" s="249"/>
      <c r="AN2" s="249" t="s">
        <v>1527</v>
      </c>
      <c r="AO2" s="249"/>
      <c r="AP2" s="249"/>
      <c r="AQ2" s="249"/>
      <c r="AR2" s="249" t="s">
        <v>1704</v>
      </c>
      <c r="AS2" s="249"/>
      <c r="AT2" s="249"/>
      <c r="AU2" s="249"/>
      <c r="AV2" s="233"/>
      <c r="AW2" s="233"/>
      <c r="AX2" s="233"/>
      <c r="AY2" s="233"/>
      <c r="AZ2" s="233"/>
      <c r="BA2" s="233"/>
      <c r="BB2" s="233"/>
      <c r="BC2" s="233"/>
      <c r="BD2" s="233"/>
      <c r="BE2" s="233"/>
      <c r="BF2" s="233"/>
      <c r="BG2" s="233"/>
      <c r="BH2" s="233"/>
      <c r="BI2" s="233"/>
      <c r="BJ2" s="233"/>
      <c r="BK2" s="233"/>
      <c r="BL2" s="233"/>
      <c r="BM2" s="233"/>
      <c r="BN2" s="233"/>
      <c r="BO2" s="233"/>
      <c r="BP2" s="233"/>
      <c r="BQ2" s="233"/>
      <c r="BR2" s="233"/>
      <c r="BS2" s="233"/>
      <c r="BT2" s="233"/>
      <c r="BU2" s="233"/>
      <c r="BV2" s="233"/>
      <c r="BW2" s="233"/>
      <c r="BX2" s="233"/>
      <c r="BY2" s="233"/>
      <c r="BZ2" s="233"/>
      <c r="CA2" s="233"/>
      <c r="CB2" s="233"/>
      <c r="CC2" s="233"/>
      <c r="CD2" s="233"/>
      <c r="CE2" s="233"/>
      <c r="CF2" s="233"/>
      <c r="CG2" s="233"/>
      <c r="CH2" s="233"/>
      <c r="CI2" s="233"/>
      <c r="CJ2" s="233"/>
      <c r="CK2" s="233"/>
      <c r="CL2" s="233"/>
      <c r="CM2" s="233"/>
      <c r="CN2" s="233"/>
      <c r="CO2" s="233"/>
      <c r="CP2" s="233"/>
      <c r="CQ2" s="233"/>
      <c r="CR2" s="233"/>
      <c r="CS2" s="233"/>
      <c r="CT2" s="233"/>
      <c r="CU2" s="233"/>
      <c r="CV2" s="233"/>
      <c r="CW2" s="233"/>
      <c r="CX2" s="233"/>
      <c r="CY2" s="233"/>
      <c r="CZ2" s="233"/>
      <c r="DA2" s="233"/>
      <c r="DB2" s="233"/>
      <c r="DC2" s="233"/>
      <c r="DD2" s="233"/>
      <c r="DE2" s="233"/>
      <c r="DF2" s="233"/>
      <c r="DG2" s="233"/>
      <c r="DH2" s="233"/>
      <c r="DI2" s="233"/>
      <c r="DJ2" s="233"/>
      <c r="DK2" s="233"/>
      <c r="DL2" s="233"/>
      <c r="DM2" s="233"/>
      <c r="DN2" s="233"/>
      <c r="DO2" s="233"/>
      <c r="DP2" s="233"/>
      <c r="DQ2" s="233"/>
      <c r="DR2" s="233"/>
    </row>
    <row r="3" spans="1:122" s="130" customFormat="1" ht="18.95" customHeight="1">
      <c r="A3" s="259" t="s">
        <v>1850</v>
      </c>
      <c r="B3" s="261" t="s">
        <v>1857</v>
      </c>
      <c r="C3" s="263" t="s">
        <v>1851</v>
      </c>
      <c r="D3" s="264" t="s">
        <v>1868</v>
      </c>
      <c r="E3" s="265" t="s">
        <v>1860</v>
      </c>
      <c r="F3" s="266"/>
      <c r="G3" s="266"/>
      <c r="H3" s="266"/>
      <c r="I3" s="266"/>
      <c r="J3" s="266"/>
      <c r="K3" s="266"/>
      <c r="L3" s="266"/>
      <c r="M3" s="266"/>
      <c r="N3" s="266"/>
      <c r="O3" s="257" t="s">
        <v>1861</v>
      </c>
      <c r="P3" s="257" t="s">
        <v>1869</v>
      </c>
      <c r="Q3" s="257" t="s">
        <v>1867</v>
      </c>
      <c r="R3" s="251" t="s">
        <v>1862</v>
      </c>
      <c r="S3" s="272" t="s">
        <v>1856</v>
      </c>
      <c r="T3" s="278" t="s">
        <v>1863</v>
      </c>
      <c r="U3" s="272" t="s">
        <v>1858</v>
      </c>
      <c r="V3" s="272" t="s">
        <v>1852</v>
      </c>
      <c r="W3" s="280" t="s">
        <v>1859</v>
      </c>
      <c r="X3" s="280" t="s">
        <v>1864</v>
      </c>
      <c r="Y3" s="274" t="s">
        <v>1844</v>
      </c>
      <c r="Z3" s="276" t="s">
        <v>1845</v>
      </c>
      <c r="AA3" s="270" t="s">
        <v>1865</v>
      </c>
      <c r="AB3" s="257" t="s">
        <v>1853</v>
      </c>
      <c r="AC3" s="251" t="s">
        <v>1846</v>
      </c>
      <c r="AD3" s="253" t="s">
        <v>1854</v>
      </c>
      <c r="AE3" s="255" t="s">
        <v>1855</v>
      </c>
      <c r="AF3" s="268" t="s">
        <v>1529</v>
      </c>
      <c r="AG3" s="248"/>
      <c r="AH3" s="248"/>
      <c r="AI3" s="248"/>
      <c r="AJ3" s="247" t="s">
        <v>1530</v>
      </c>
      <c r="AK3" s="248"/>
      <c r="AL3" s="248"/>
      <c r="AM3" s="248"/>
      <c r="AN3" s="247" t="s">
        <v>1594</v>
      </c>
      <c r="AO3" s="248"/>
      <c r="AP3" s="248"/>
      <c r="AQ3" s="248"/>
      <c r="AR3" s="247" t="s">
        <v>1703</v>
      </c>
      <c r="AS3" s="248"/>
      <c r="AT3" s="248"/>
      <c r="AU3" s="250"/>
    </row>
    <row r="4" spans="1:122" s="130" customFormat="1" ht="6" customHeight="1">
      <c r="A4" s="260"/>
      <c r="B4" s="262"/>
      <c r="C4" s="259"/>
      <c r="D4" s="252"/>
      <c r="E4" s="267"/>
      <c r="F4" s="266"/>
      <c r="G4" s="266"/>
      <c r="H4" s="266"/>
      <c r="I4" s="266"/>
      <c r="J4" s="266"/>
      <c r="K4" s="266"/>
      <c r="L4" s="266"/>
      <c r="M4" s="266"/>
      <c r="N4" s="266"/>
      <c r="O4" s="258"/>
      <c r="P4" s="258"/>
      <c r="Q4" s="258"/>
      <c r="R4" s="252"/>
      <c r="S4" s="273"/>
      <c r="T4" s="279"/>
      <c r="U4" s="273"/>
      <c r="V4" s="273"/>
      <c r="W4" s="258"/>
      <c r="X4" s="258"/>
      <c r="Y4" s="275"/>
      <c r="Z4" s="277"/>
      <c r="AA4" s="271"/>
      <c r="AB4" s="258"/>
      <c r="AC4" s="252"/>
      <c r="AD4" s="254"/>
      <c r="AE4" s="256"/>
      <c r="AF4" s="170">
        <v>44808</v>
      </c>
      <c r="AG4" s="171">
        <v>44815</v>
      </c>
      <c r="AH4" s="171">
        <v>44822</v>
      </c>
      <c r="AI4" s="171">
        <v>44829</v>
      </c>
      <c r="AJ4" s="171">
        <v>44836</v>
      </c>
      <c r="AK4" s="171">
        <v>44843</v>
      </c>
      <c r="AL4" s="171">
        <v>44850</v>
      </c>
      <c r="AM4" s="171">
        <v>44857</v>
      </c>
      <c r="AN4" s="171">
        <v>44864</v>
      </c>
      <c r="AO4" s="171">
        <v>44871</v>
      </c>
      <c r="AP4" s="171">
        <v>44878</v>
      </c>
      <c r="AQ4" s="171">
        <v>44885</v>
      </c>
      <c r="AR4" s="171">
        <v>44892</v>
      </c>
      <c r="AS4" s="221"/>
      <c r="AT4" s="221"/>
      <c r="AU4" s="222"/>
      <c r="AV4" s="213"/>
      <c r="AW4" s="213"/>
      <c r="AX4" s="213"/>
      <c r="AY4" s="213"/>
      <c r="AZ4" s="213"/>
      <c r="BA4" s="213"/>
      <c r="BB4" s="213"/>
      <c r="BC4" s="213"/>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3"/>
      <c r="DD4" s="213"/>
      <c r="DE4" s="213"/>
      <c r="DF4" s="213"/>
      <c r="DG4" s="213"/>
      <c r="DH4" s="213"/>
      <c r="DI4" s="213"/>
      <c r="DJ4" s="213"/>
      <c r="DK4" s="213"/>
      <c r="DL4" s="213"/>
      <c r="DM4" s="213"/>
      <c r="DN4" s="213"/>
      <c r="DO4" s="213"/>
      <c r="DP4" s="213"/>
      <c r="DQ4" s="213"/>
      <c r="DR4" s="213"/>
    </row>
    <row r="5" spans="1:122" ht="12" customHeight="1">
      <c r="A5" s="147"/>
      <c r="B5" s="147" t="s">
        <v>1353</v>
      </c>
      <c r="C5" s="147">
        <v>1</v>
      </c>
      <c r="D5" s="167" t="s">
        <v>495</v>
      </c>
      <c r="E5" s="148" t="s">
        <v>1451</v>
      </c>
      <c r="F5" s="148"/>
      <c r="G5" s="148"/>
      <c r="H5" s="148"/>
      <c r="I5" s="148"/>
      <c r="J5" s="148"/>
      <c r="K5" s="148"/>
      <c r="L5" s="148"/>
      <c r="M5" s="148"/>
      <c r="N5" s="148"/>
      <c r="O5" s="148"/>
      <c r="P5" s="149">
        <v>44811</v>
      </c>
      <c r="Q5" s="149">
        <v>44893</v>
      </c>
      <c r="R5" s="148"/>
      <c r="S5" s="150">
        <v>101</v>
      </c>
      <c r="T5" s="150">
        <v>101</v>
      </c>
      <c r="U5" s="150">
        <v>55</v>
      </c>
      <c r="V5" s="150">
        <v>55</v>
      </c>
      <c r="W5" s="149"/>
      <c r="X5" s="149"/>
      <c r="Y5" s="151">
        <v>0</v>
      </c>
      <c r="Z5" s="152">
        <v>0</v>
      </c>
      <c r="AA5" s="150"/>
      <c r="AB5" s="148"/>
      <c r="AC5" s="153"/>
      <c r="AD5" s="166">
        <v>1</v>
      </c>
      <c r="AE5" s="175">
        <v>0.88118811881188119</v>
      </c>
      <c r="AF5" s="172"/>
      <c r="AG5" s="173"/>
      <c r="AH5" s="173"/>
      <c r="AI5" s="173"/>
      <c r="AJ5" s="173"/>
      <c r="AK5" s="173"/>
      <c r="AL5" s="173"/>
      <c r="AM5" s="173"/>
      <c r="AN5" s="173"/>
      <c r="AO5" s="173"/>
      <c r="AP5" s="173" t="str">
        <f>"      " &amp; TEXT(AE5,"#0.00%") &amp; " " &amp; "프로젝트 관리" &amp; " " &amp; IF(P5="","",TEXT(P5,"M/D-")) &amp; IF(Q5="","",TEXT(Q5,"M/D")) &amp; " "</f>
        <v xml:space="preserve">      88.12% 프로젝트 관리 9/7-11/28 </v>
      </c>
      <c r="AQ5" s="173"/>
      <c r="AR5" s="173"/>
      <c r="AS5" s="173"/>
      <c r="AT5" s="169"/>
      <c r="AU5" s="169"/>
    </row>
    <row r="6" spans="1:122" ht="12" customHeight="1" outlineLevel="1">
      <c r="A6" s="147"/>
      <c r="B6" s="147" t="s">
        <v>1353</v>
      </c>
      <c r="C6" s="147">
        <v>2</v>
      </c>
      <c r="D6" s="167" t="s">
        <v>541</v>
      </c>
      <c r="E6" s="148"/>
      <c r="F6" s="148" t="s">
        <v>1459</v>
      </c>
      <c r="G6" s="148"/>
      <c r="H6" s="148"/>
      <c r="I6" s="148"/>
      <c r="J6" s="148"/>
      <c r="K6" s="148"/>
      <c r="L6" s="148"/>
      <c r="M6" s="148"/>
      <c r="N6" s="148"/>
      <c r="O6" s="148"/>
      <c r="P6" s="149">
        <v>44811</v>
      </c>
      <c r="Q6" s="149">
        <v>44818</v>
      </c>
      <c r="R6" s="148"/>
      <c r="S6" s="150">
        <v>4</v>
      </c>
      <c r="T6" s="150">
        <v>4</v>
      </c>
      <c r="U6" s="150">
        <v>4</v>
      </c>
      <c r="V6" s="150">
        <v>4</v>
      </c>
      <c r="W6" s="149"/>
      <c r="X6" s="149"/>
      <c r="Y6" s="151">
        <v>0</v>
      </c>
      <c r="Z6" s="152">
        <v>0</v>
      </c>
      <c r="AA6" s="150"/>
      <c r="AB6" s="148"/>
      <c r="AC6" s="153"/>
      <c r="AD6" s="166">
        <v>1</v>
      </c>
      <c r="AE6" s="211">
        <v>1</v>
      </c>
      <c r="AF6" s="172"/>
      <c r="AG6" s="173" t="str">
        <f>"    " &amp; TEXT(AE6,"#0.00%") &amp; " " &amp; "프로젝트 계획 수립" &amp; " " &amp; IF(P6="","",TEXT(P6,"M/D-")) &amp; IF(Q6="","",TEXT(Q6,"M/D")) &amp; " "</f>
        <v xml:space="preserve">    100.00% 프로젝트 계획 수립 9/7-9/14 </v>
      </c>
      <c r="AH6" s="173"/>
      <c r="AI6" s="173"/>
      <c r="AJ6" s="173"/>
      <c r="AK6" s="173"/>
      <c r="AL6" s="173"/>
      <c r="AM6" s="173"/>
      <c r="AN6" s="173"/>
      <c r="AO6" s="173"/>
      <c r="AP6" s="173"/>
      <c r="AQ6" s="173"/>
      <c r="AR6" s="173"/>
      <c r="AS6" s="173"/>
    </row>
    <row r="7" spans="1:122" ht="12" customHeight="1" outlineLevel="2">
      <c r="A7" s="147"/>
      <c r="B7" s="147"/>
      <c r="C7" s="147">
        <v>3</v>
      </c>
      <c r="D7" s="167" t="s">
        <v>1440</v>
      </c>
      <c r="E7" s="148"/>
      <c r="F7" s="148"/>
      <c r="G7" s="148" t="s">
        <v>1545</v>
      </c>
      <c r="H7" s="148"/>
      <c r="I7" s="148"/>
      <c r="J7" s="148"/>
      <c r="K7" s="148"/>
      <c r="L7" s="148"/>
      <c r="M7" s="148"/>
      <c r="N7" s="148"/>
      <c r="O7" s="148"/>
      <c r="P7" s="149">
        <v>44811</v>
      </c>
      <c r="Q7" s="149">
        <v>44818</v>
      </c>
      <c r="R7" s="148"/>
      <c r="S7" s="150">
        <v>4</v>
      </c>
      <c r="T7" s="150">
        <v>4</v>
      </c>
      <c r="U7" s="150">
        <v>4</v>
      </c>
      <c r="V7" s="150">
        <v>4</v>
      </c>
      <c r="W7" s="149"/>
      <c r="X7" s="149"/>
      <c r="Y7" s="151"/>
      <c r="Z7" s="152">
        <v>0</v>
      </c>
      <c r="AA7" s="150"/>
      <c r="AB7" s="148"/>
      <c r="AC7" s="153"/>
      <c r="AD7" s="166">
        <v>1</v>
      </c>
      <c r="AE7" s="176">
        <v>1</v>
      </c>
      <c r="AF7" s="172"/>
      <c r="AG7" s="173" t="str">
        <f>"    " &amp; TEXT(AE7,"#0.00%") &amp; " " &amp; "프로젝트 범위 정의" &amp; " " &amp; IF(P7="","",TEXT(P7,"M/D-")) &amp; IF(Q7="","",TEXT(Q7,"M/D")) &amp; " "</f>
        <v xml:space="preserve">    100.00% 프로젝트 범위 정의 9/7-9/14 </v>
      </c>
      <c r="AH7" s="173"/>
      <c r="AI7" s="173"/>
      <c r="AJ7" s="173"/>
      <c r="AK7" s="173"/>
      <c r="AL7" s="173"/>
      <c r="AM7" s="173"/>
      <c r="AN7" s="173"/>
      <c r="AO7" s="173"/>
      <c r="AP7" s="173"/>
      <c r="AQ7" s="173"/>
      <c r="AR7" s="173"/>
      <c r="AS7" s="173"/>
    </row>
    <row r="8" spans="1:122" ht="12" customHeight="1" outlineLevel="1">
      <c r="A8" s="147" t="s">
        <v>1567</v>
      </c>
      <c r="B8" s="147" t="s">
        <v>1353</v>
      </c>
      <c r="C8" s="147">
        <v>2</v>
      </c>
      <c r="D8" s="167" t="s">
        <v>1449</v>
      </c>
      <c r="E8" s="148"/>
      <c r="F8" s="148" t="s">
        <v>1564</v>
      </c>
      <c r="G8" s="148"/>
      <c r="H8" s="148"/>
      <c r="I8" s="148"/>
      <c r="J8" s="148"/>
      <c r="K8" s="148"/>
      <c r="L8" s="148"/>
      <c r="M8" s="148"/>
      <c r="N8" s="148"/>
      <c r="O8" s="148"/>
      <c r="P8" s="149">
        <v>44811</v>
      </c>
      <c r="Q8" s="149">
        <v>44811</v>
      </c>
      <c r="R8" s="148"/>
      <c r="S8" s="150">
        <v>7</v>
      </c>
      <c r="T8" s="150">
        <v>7</v>
      </c>
      <c r="U8" s="150">
        <v>1</v>
      </c>
      <c r="V8" s="150">
        <v>1</v>
      </c>
      <c r="W8" s="149"/>
      <c r="X8" s="149"/>
      <c r="Y8" s="151">
        <v>0</v>
      </c>
      <c r="Z8" s="152">
        <v>0</v>
      </c>
      <c r="AA8" s="150"/>
      <c r="AB8" s="220"/>
      <c r="AC8" s="153"/>
      <c r="AD8" s="166">
        <v>1</v>
      </c>
      <c r="AE8" s="211">
        <v>1</v>
      </c>
      <c r="AF8" s="172" t="str">
        <f>"    " &amp; TEXT(AE8,"#0.00%") &amp; " " &amp; "담당자 분배" &amp; " " &amp; IF(P8="","",TEXT(P8,"M/D-")) &amp; IF(Q8="","",TEXT(Q8,"M/D")) &amp; " "</f>
        <v xml:space="preserve">    100.00% 담당자 분배 9/7-9/7 </v>
      </c>
      <c r="AG8" s="173"/>
      <c r="AH8" s="173"/>
      <c r="AI8" s="173"/>
      <c r="AJ8" s="173"/>
      <c r="AK8" s="173"/>
      <c r="AL8" s="173"/>
      <c r="AM8" s="173"/>
      <c r="AN8" s="173"/>
      <c r="AO8" s="173"/>
      <c r="AP8" s="173"/>
      <c r="AQ8" s="173"/>
      <c r="AR8" s="173"/>
      <c r="AS8" s="173"/>
    </row>
    <row r="9" spans="1:122" ht="12" customHeight="1" outlineLevel="2">
      <c r="A9" s="147"/>
      <c r="B9" s="147"/>
      <c r="C9" s="147">
        <v>3</v>
      </c>
      <c r="D9" s="167" t="s">
        <v>1444</v>
      </c>
      <c r="E9" s="148"/>
      <c r="F9" s="148"/>
      <c r="G9" s="148" t="s">
        <v>1573</v>
      </c>
      <c r="H9" s="148"/>
      <c r="I9" s="148"/>
      <c r="J9" s="148"/>
      <c r="K9" s="148"/>
      <c r="L9" s="148"/>
      <c r="M9" s="148"/>
      <c r="N9" s="148"/>
      <c r="O9" s="148"/>
      <c r="P9" s="149">
        <v>44811</v>
      </c>
      <c r="Q9" s="149">
        <v>44811</v>
      </c>
      <c r="R9" s="148"/>
      <c r="S9" s="150">
        <v>1</v>
      </c>
      <c r="T9" s="150">
        <v>1</v>
      </c>
      <c r="U9" s="150">
        <v>1</v>
      </c>
      <c r="V9" s="150">
        <v>1</v>
      </c>
      <c r="W9" s="149"/>
      <c r="X9" s="149"/>
      <c r="Y9" s="151"/>
      <c r="Z9" s="152">
        <v>0</v>
      </c>
      <c r="AA9" s="150"/>
      <c r="AB9" s="148" t="s">
        <v>1568</v>
      </c>
      <c r="AC9" s="153"/>
      <c r="AD9" s="166">
        <v>1</v>
      </c>
      <c r="AE9" s="176">
        <v>1</v>
      </c>
      <c r="AF9" s="172" t="str">
        <f>"    " &amp; TEXT(AE9,"#0.00%") &amp; " " &amp; "PM" &amp; "(이무현)" &amp; " " &amp; IF(P9="","",TEXT(P9,"M/D-")) &amp; IF(Q9="","",TEXT(Q9,"M/D")) &amp; " "</f>
        <v xml:space="preserve">    100.00% PM(이무현) 9/7-9/7 </v>
      </c>
      <c r="AG9" s="173"/>
      <c r="AH9" s="173"/>
      <c r="AI9" s="173"/>
      <c r="AJ9" s="173"/>
      <c r="AK9" s="173"/>
      <c r="AL9" s="173"/>
      <c r="AM9" s="173"/>
      <c r="AN9" s="173"/>
      <c r="AO9" s="173"/>
      <c r="AP9" s="173"/>
      <c r="AQ9" s="173"/>
      <c r="AR9" s="173"/>
      <c r="AS9" s="173"/>
    </row>
    <row r="10" spans="1:122" ht="12" customHeight="1" outlineLevel="2">
      <c r="A10" s="147"/>
      <c r="B10" s="147"/>
      <c r="C10" s="147">
        <v>3</v>
      </c>
      <c r="D10" s="167" t="s">
        <v>1445</v>
      </c>
      <c r="E10" s="148"/>
      <c r="F10" s="148"/>
      <c r="G10" s="148" t="s">
        <v>1574</v>
      </c>
      <c r="H10" s="148"/>
      <c r="I10" s="148"/>
      <c r="J10" s="148"/>
      <c r="K10" s="148"/>
      <c r="L10" s="148"/>
      <c r="M10" s="148"/>
      <c r="N10" s="148"/>
      <c r="O10" s="148"/>
      <c r="P10" s="149">
        <v>44811</v>
      </c>
      <c r="Q10" s="149">
        <v>44811</v>
      </c>
      <c r="R10" s="148"/>
      <c r="S10" s="150">
        <v>1</v>
      </c>
      <c r="T10" s="150">
        <v>1</v>
      </c>
      <c r="U10" s="150">
        <v>1</v>
      </c>
      <c r="V10" s="150">
        <v>1</v>
      </c>
      <c r="W10" s="149"/>
      <c r="X10" s="149"/>
      <c r="Y10" s="151"/>
      <c r="Z10" s="152">
        <v>0</v>
      </c>
      <c r="AA10" s="150"/>
      <c r="AB10" s="148" t="s">
        <v>1568</v>
      </c>
      <c r="AC10" s="153"/>
      <c r="AD10" s="166">
        <v>1</v>
      </c>
      <c r="AE10" s="176">
        <v>1</v>
      </c>
      <c r="AF10" s="172" t="str">
        <f>"    " &amp; TEXT(AE10,"#0.00%") &amp; " " &amp; "Git 관리자" &amp; "(이무현)" &amp; " " &amp; IF(P10="","",TEXT(P10,"M/D-")) &amp; IF(Q10="","",TEXT(Q10,"M/D")) &amp; " "</f>
        <v xml:space="preserve">    100.00% Git 관리자(이무현) 9/7-9/7 </v>
      </c>
      <c r="AG10" s="173"/>
      <c r="AH10" s="173"/>
      <c r="AI10" s="173"/>
      <c r="AJ10" s="173"/>
      <c r="AK10" s="173"/>
      <c r="AL10" s="173"/>
      <c r="AM10" s="173"/>
      <c r="AN10" s="173"/>
      <c r="AO10" s="173"/>
      <c r="AP10" s="173"/>
      <c r="AQ10" s="173"/>
      <c r="AR10" s="173"/>
      <c r="AS10" s="173"/>
    </row>
    <row r="11" spans="1:122" ht="12" customHeight="1" outlineLevel="2">
      <c r="A11" s="147"/>
      <c r="B11" s="147"/>
      <c r="C11" s="147">
        <v>3</v>
      </c>
      <c r="D11" s="167" t="s">
        <v>1464</v>
      </c>
      <c r="E11" s="148"/>
      <c r="F11" s="148"/>
      <c r="G11" s="148" t="s">
        <v>1550</v>
      </c>
      <c r="H11" s="148"/>
      <c r="I11" s="148"/>
      <c r="J11" s="148"/>
      <c r="K11" s="148"/>
      <c r="L11" s="148"/>
      <c r="M11" s="148"/>
      <c r="N11" s="148"/>
      <c r="O11" s="148"/>
      <c r="P11" s="149">
        <v>44811</v>
      </c>
      <c r="Q11" s="149">
        <v>44811</v>
      </c>
      <c r="R11" s="148"/>
      <c r="S11" s="150">
        <v>1</v>
      </c>
      <c r="T11" s="150">
        <v>1</v>
      </c>
      <c r="U11" s="150">
        <v>1</v>
      </c>
      <c r="V11" s="150">
        <v>1</v>
      </c>
      <c r="W11" s="149"/>
      <c r="X11" s="149"/>
      <c r="Y11" s="151"/>
      <c r="Z11" s="152">
        <v>0</v>
      </c>
      <c r="AA11" s="150"/>
      <c r="AB11" s="220" t="s">
        <v>1568</v>
      </c>
      <c r="AC11" s="153"/>
      <c r="AD11" s="166">
        <v>1</v>
      </c>
      <c r="AE11" s="176">
        <v>1</v>
      </c>
      <c r="AF11" s="172" t="str">
        <f>"    " &amp; TEXT(AE11,"#0.00%") &amp; " " &amp; "네트워크" &amp; "(이무현)" &amp; " " &amp; IF(P11="","",TEXT(P11,"M/D-")) &amp; IF(Q11="","",TEXT(Q11,"M/D")) &amp; " "</f>
        <v xml:space="preserve">    100.00% 네트워크(이무현) 9/7-9/7 </v>
      </c>
      <c r="AG11" s="173"/>
      <c r="AH11" s="173"/>
      <c r="AI11" s="173"/>
      <c r="AJ11" s="173"/>
      <c r="AK11" s="173"/>
      <c r="AL11" s="173"/>
      <c r="AM11" s="173"/>
      <c r="AN11" s="173"/>
      <c r="AO11" s="173"/>
      <c r="AP11" s="173"/>
      <c r="AQ11" s="173"/>
      <c r="AR11" s="173"/>
      <c r="AS11" s="173"/>
    </row>
    <row r="12" spans="1:122" ht="12" customHeight="1" outlineLevel="2">
      <c r="A12" s="147"/>
      <c r="B12" s="147"/>
      <c r="C12" s="147">
        <v>3</v>
      </c>
      <c r="D12" s="167" t="s">
        <v>1466</v>
      </c>
      <c r="E12" s="148"/>
      <c r="F12" s="148"/>
      <c r="G12" s="148" t="s">
        <v>1584</v>
      </c>
      <c r="H12" s="148"/>
      <c r="I12" s="148"/>
      <c r="J12" s="148"/>
      <c r="K12" s="148"/>
      <c r="L12" s="148"/>
      <c r="M12" s="148"/>
      <c r="N12" s="148"/>
      <c r="O12" s="148"/>
      <c r="P12" s="149">
        <v>44811</v>
      </c>
      <c r="Q12" s="149">
        <v>44811</v>
      </c>
      <c r="R12" s="148"/>
      <c r="S12" s="150">
        <v>1</v>
      </c>
      <c r="T12" s="150">
        <v>1</v>
      </c>
      <c r="U12" s="150">
        <v>1</v>
      </c>
      <c r="V12" s="150">
        <v>1</v>
      </c>
      <c r="W12" s="149"/>
      <c r="X12" s="149"/>
      <c r="Y12" s="151"/>
      <c r="Z12" s="152">
        <v>0</v>
      </c>
      <c r="AA12" s="150"/>
      <c r="AB12" s="220" t="s">
        <v>1571</v>
      </c>
      <c r="AC12" s="153"/>
      <c r="AD12" s="166">
        <v>1</v>
      </c>
      <c r="AE12" s="176">
        <v>1</v>
      </c>
      <c r="AF12" s="172" t="str">
        <f>"    " &amp; TEXT(AE12,"#0.00%") &amp; " " &amp; "클라이언트 모듈" &amp; "(유영주)" &amp; " " &amp; IF(P12="","",TEXT(P12,"M/D-")) &amp; IF(Q12="","",TEXT(Q12,"M/D")) &amp; " "</f>
        <v xml:space="preserve">    100.00% 클라이언트 모듈(유영주) 9/7-9/7 </v>
      </c>
      <c r="AG12" s="173"/>
      <c r="AH12" s="173"/>
      <c r="AI12" s="173"/>
      <c r="AJ12" s="173"/>
      <c r="AK12" s="173"/>
      <c r="AL12" s="173"/>
      <c r="AM12" s="173"/>
      <c r="AN12" s="173"/>
      <c r="AO12" s="173"/>
      <c r="AP12" s="173"/>
      <c r="AQ12" s="173"/>
      <c r="AR12" s="173"/>
      <c r="AS12" s="173"/>
    </row>
    <row r="13" spans="1:122" ht="12" customHeight="1" outlineLevel="2">
      <c r="A13" s="147"/>
      <c r="B13" s="147"/>
      <c r="C13" s="147">
        <v>3</v>
      </c>
      <c r="D13" s="167" t="s">
        <v>1586</v>
      </c>
      <c r="E13" s="148"/>
      <c r="F13" s="148"/>
      <c r="G13" s="148" t="s">
        <v>1585</v>
      </c>
      <c r="H13" s="148"/>
      <c r="I13" s="148"/>
      <c r="J13" s="148"/>
      <c r="K13" s="148"/>
      <c r="L13" s="148"/>
      <c r="M13" s="148"/>
      <c r="N13" s="148"/>
      <c r="O13" s="148"/>
      <c r="P13" s="149">
        <v>44811</v>
      </c>
      <c r="Q13" s="149">
        <v>44811</v>
      </c>
      <c r="R13" s="148"/>
      <c r="S13" s="150">
        <v>1</v>
      </c>
      <c r="T13" s="150">
        <v>1</v>
      </c>
      <c r="U13" s="150">
        <v>1</v>
      </c>
      <c r="V13" s="150">
        <v>1</v>
      </c>
      <c r="W13" s="149"/>
      <c r="X13" s="149"/>
      <c r="Y13" s="151"/>
      <c r="Z13" s="152">
        <v>0</v>
      </c>
      <c r="AA13" s="150"/>
      <c r="AB13" s="220" t="s">
        <v>1569</v>
      </c>
      <c r="AC13" s="153"/>
      <c r="AD13" s="166">
        <v>1</v>
      </c>
      <c r="AE13" s="176">
        <v>1</v>
      </c>
      <c r="AF13" s="172" t="str">
        <f>"    " &amp; TEXT(AE13,"#0.00%") &amp; " " &amp; "서버 모듈" &amp; "(이태양)" &amp; " " &amp; IF(P13="","",TEXT(P13,"M/D-")) &amp; IF(Q13="","",TEXT(Q13,"M/D")) &amp; " "</f>
        <v xml:space="preserve">    100.00% 서버 모듈(이태양) 9/7-9/7 </v>
      </c>
      <c r="AG13" s="173"/>
      <c r="AH13" s="173"/>
      <c r="AI13" s="173"/>
      <c r="AJ13" s="173"/>
      <c r="AK13" s="173"/>
      <c r="AL13" s="173"/>
      <c r="AM13" s="173"/>
      <c r="AN13" s="173"/>
      <c r="AO13" s="173"/>
      <c r="AP13" s="173"/>
      <c r="AQ13" s="173"/>
      <c r="AR13" s="173"/>
      <c r="AS13" s="173"/>
    </row>
    <row r="14" spans="1:122" ht="12" customHeight="1" outlineLevel="2">
      <c r="A14" s="147"/>
      <c r="B14" s="147"/>
      <c r="C14" s="147">
        <v>3</v>
      </c>
      <c r="D14" s="167" t="s">
        <v>1587</v>
      </c>
      <c r="E14" s="148"/>
      <c r="F14" s="148"/>
      <c r="G14" s="148" t="s">
        <v>1592</v>
      </c>
      <c r="H14" s="148"/>
      <c r="I14" s="148"/>
      <c r="J14" s="148"/>
      <c r="K14" s="148"/>
      <c r="L14" s="148"/>
      <c r="M14" s="148"/>
      <c r="N14" s="148"/>
      <c r="O14" s="148"/>
      <c r="P14" s="149">
        <v>44811</v>
      </c>
      <c r="Q14" s="149">
        <v>44811</v>
      </c>
      <c r="R14" s="148"/>
      <c r="S14" s="150">
        <v>1</v>
      </c>
      <c r="T14" s="150">
        <v>1</v>
      </c>
      <c r="U14" s="150">
        <v>1</v>
      </c>
      <c r="V14" s="150">
        <v>1</v>
      </c>
      <c r="W14" s="149"/>
      <c r="X14" s="149"/>
      <c r="Y14" s="151"/>
      <c r="Z14" s="152">
        <v>0</v>
      </c>
      <c r="AA14" s="150"/>
      <c r="AB14" s="148" t="s">
        <v>1572</v>
      </c>
      <c r="AC14" s="153"/>
      <c r="AD14" s="166">
        <v>1</v>
      </c>
      <c r="AE14" s="176">
        <v>1</v>
      </c>
      <c r="AF14" s="172" t="str">
        <f>"    " &amp; TEXT(AE14,"#0.00%") &amp; " " &amp; "UI 클라이언트" &amp; "(이종수)" &amp; " " &amp; IF(P14="","",TEXT(P14,"M/D-")) &amp; IF(Q14="","",TEXT(Q14,"M/D")) &amp; " "</f>
        <v xml:space="preserve">    100.00% UI 클라이언트(이종수) 9/7-9/7 </v>
      </c>
      <c r="AG14" s="173"/>
      <c r="AH14" s="173"/>
      <c r="AI14" s="173"/>
      <c r="AJ14" s="173"/>
      <c r="AK14" s="173"/>
      <c r="AL14" s="173"/>
      <c r="AM14" s="173"/>
      <c r="AN14" s="173"/>
      <c r="AO14" s="173"/>
      <c r="AP14" s="173"/>
      <c r="AQ14" s="173"/>
      <c r="AR14" s="173"/>
      <c r="AS14" s="173"/>
    </row>
    <row r="15" spans="1:122" ht="12" customHeight="1" outlineLevel="2">
      <c r="A15" s="147"/>
      <c r="B15" s="147"/>
      <c r="C15" s="147">
        <v>3</v>
      </c>
      <c r="D15" s="167" t="s">
        <v>1588</v>
      </c>
      <c r="E15" s="148"/>
      <c r="F15" s="148"/>
      <c r="G15" s="148" t="s">
        <v>1593</v>
      </c>
      <c r="H15" s="148"/>
      <c r="I15" s="148"/>
      <c r="J15" s="148"/>
      <c r="K15" s="148"/>
      <c r="L15" s="148"/>
      <c r="M15" s="148"/>
      <c r="N15" s="148"/>
      <c r="O15" s="148"/>
      <c r="P15" s="149">
        <v>44811</v>
      </c>
      <c r="Q15" s="149">
        <v>44811</v>
      </c>
      <c r="R15" s="148"/>
      <c r="S15" s="150">
        <v>1</v>
      </c>
      <c r="T15" s="150">
        <v>1</v>
      </c>
      <c r="U15" s="150">
        <v>1</v>
      </c>
      <c r="V15" s="150">
        <v>1</v>
      </c>
      <c r="W15" s="149"/>
      <c r="X15" s="149"/>
      <c r="Y15" s="151"/>
      <c r="Z15" s="152">
        <v>0</v>
      </c>
      <c r="AA15" s="150"/>
      <c r="AB15" s="148" t="s">
        <v>1570</v>
      </c>
      <c r="AC15" s="153"/>
      <c r="AD15" s="166">
        <v>1</v>
      </c>
      <c r="AE15" s="176">
        <v>1</v>
      </c>
      <c r="AF15" s="172" t="str">
        <f>"    " &amp; TEXT(AE15,"#0.00%") &amp; " " &amp; "UI 서버" &amp; "(장진)" &amp; " " &amp; IF(P15="","",TEXT(P15,"M/D-")) &amp; IF(Q15="","",TEXT(Q15,"M/D")) &amp; " "</f>
        <v xml:space="preserve">    100.00% UI 서버(장진) 9/7-9/7 </v>
      </c>
      <c r="AG15" s="173"/>
      <c r="AH15" s="173"/>
      <c r="AI15" s="173"/>
      <c r="AJ15" s="173"/>
      <c r="AK15" s="173"/>
      <c r="AL15" s="173"/>
      <c r="AM15" s="173"/>
      <c r="AN15" s="173"/>
      <c r="AO15" s="173"/>
      <c r="AP15" s="173"/>
      <c r="AQ15" s="173"/>
      <c r="AR15" s="173"/>
      <c r="AS15" s="173"/>
    </row>
    <row r="16" spans="1:122" ht="12" customHeight="1" outlineLevel="1">
      <c r="A16" s="147"/>
      <c r="B16" s="147" t="s">
        <v>1353</v>
      </c>
      <c r="C16" s="147">
        <v>2</v>
      </c>
      <c r="D16" s="167" t="s">
        <v>1450</v>
      </c>
      <c r="E16" s="148"/>
      <c r="F16" s="148" t="s">
        <v>1546</v>
      </c>
      <c r="G16" s="148"/>
      <c r="H16" s="148"/>
      <c r="I16" s="148"/>
      <c r="J16" s="148"/>
      <c r="K16" s="148"/>
      <c r="L16" s="148"/>
      <c r="M16" s="148"/>
      <c r="N16" s="148"/>
      <c r="O16" s="148"/>
      <c r="P16" s="149">
        <v>44846</v>
      </c>
      <c r="Q16" s="149">
        <v>44881</v>
      </c>
      <c r="R16" s="148"/>
      <c r="S16" s="150">
        <v>26</v>
      </c>
      <c r="T16" s="150">
        <v>26</v>
      </c>
      <c r="U16" s="150">
        <v>26</v>
      </c>
      <c r="V16" s="150">
        <v>26</v>
      </c>
      <c r="W16" s="149"/>
      <c r="X16" s="149"/>
      <c r="Y16" s="151">
        <v>0</v>
      </c>
      <c r="Z16" s="152">
        <v>0</v>
      </c>
      <c r="AA16" s="150"/>
      <c r="AB16" s="148"/>
      <c r="AC16" s="153"/>
      <c r="AD16" s="166">
        <v>1</v>
      </c>
      <c r="AE16" s="211">
        <v>1</v>
      </c>
      <c r="AF16" s="172"/>
      <c r="AG16" s="173"/>
      <c r="AH16" s="173"/>
      <c r="AI16" s="173"/>
      <c r="AJ16" s="173"/>
      <c r="AK16" s="173"/>
      <c r="AL16" s="173"/>
      <c r="AM16" s="173"/>
      <c r="AN16" s="173"/>
      <c r="AO16" s="173"/>
      <c r="AP16" s="173" t="str">
        <f>"    " &amp; TEXT(AE16,"#0.00%") &amp; " " &amp; "프로젝트 보고" &amp; " " &amp; IF(P16="","",TEXT(P16,"M/D-")) &amp; IF(Q16="","",TEXT(Q16,"M/D")) &amp; " "</f>
        <v xml:space="preserve">    100.00% 프로젝트 보고 10/12-11/16 </v>
      </c>
      <c r="AQ16" s="173"/>
      <c r="AR16" s="173"/>
      <c r="AS16" s="173"/>
    </row>
    <row r="17" spans="1:45" ht="12" customHeight="1" outlineLevel="2">
      <c r="A17" s="147"/>
      <c r="B17" s="147"/>
      <c r="C17" s="147">
        <v>3</v>
      </c>
      <c r="D17" s="167" t="s">
        <v>1446</v>
      </c>
      <c r="E17" s="148"/>
      <c r="F17" s="148"/>
      <c r="G17" s="148" t="s">
        <v>1561</v>
      </c>
      <c r="H17" s="148"/>
      <c r="I17" s="148"/>
      <c r="J17" s="148"/>
      <c r="K17" s="148"/>
      <c r="L17" s="148"/>
      <c r="M17" s="148"/>
      <c r="N17" s="148"/>
      <c r="O17" s="148"/>
      <c r="P17" s="149">
        <v>44846</v>
      </c>
      <c r="Q17" s="149">
        <v>44881</v>
      </c>
      <c r="R17" s="148"/>
      <c r="S17" s="150">
        <v>26</v>
      </c>
      <c r="T17" s="150">
        <v>26</v>
      </c>
      <c r="U17" s="150">
        <v>26</v>
      </c>
      <c r="V17" s="150">
        <v>26</v>
      </c>
      <c r="W17" s="149"/>
      <c r="X17" s="149"/>
      <c r="Y17" s="151"/>
      <c r="Z17" s="152">
        <v>0</v>
      </c>
      <c r="AA17" s="150"/>
      <c r="AB17" s="148" t="s">
        <v>1568</v>
      </c>
      <c r="AC17" s="153"/>
      <c r="AD17" s="166">
        <v>1</v>
      </c>
      <c r="AE17" s="176">
        <v>1</v>
      </c>
      <c r="AF17" s="172"/>
      <c r="AG17" s="173"/>
      <c r="AH17" s="173"/>
      <c r="AI17" s="173"/>
      <c r="AJ17" s="173"/>
      <c r="AK17" s="173"/>
      <c r="AL17" s="173"/>
      <c r="AM17" s="173"/>
      <c r="AN17" s="173"/>
      <c r="AO17" s="173"/>
      <c r="AP17" s="173" t="str">
        <f>"    " &amp; TEXT(AE17,"#0.00%") &amp; " " &amp; "HWP 서류 작성" &amp; "(이무현)" &amp; " " &amp; IF(P17="","",TEXT(P17,"M/D-")) &amp; IF(Q17="","",TEXT(Q17,"M/D")) &amp; " "</f>
        <v xml:space="preserve">    100.00% HWP 서류 작성(이무현) 10/12-11/16 </v>
      </c>
      <c r="AQ17" s="173"/>
      <c r="AR17" s="173"/>
      <c r="AS17" s="173"/>
    </row>
    <row r="18" spans="1:45" ht="12" customHeight="1" outlineLevel="1">
      <c r="A18" s="147"/>
      <c r="B18" s="147" t="s">
        <v>1353</v>
      </c>
      <c r="C18" s="147">
        <v>2</v>
      </c>
      <c r="D18" s="167" t="s">
        <v>1549</v>
      </c>
      <c r="E18" s="148"/>
      <c r="F18" s="148" t="s">
        <v>1547</v>
      </c>
      <c r="G18" s="148"/>
      <c r="H18" s="148"/>
      <c r="I18" s="148"/>
      <c r="J18" s="148"/>
      <c r="K18" s="148"/>
      <c r="L18" s="148"/>
      <c r="M18" s="148"/>
      <c r="N18" s="148"/>
      <c r="O18" s="148"/>
      <c r="P18" s="149">
        <v>44846</v>
      </c>
      <c r="Q18" s="149">
        <v>44881</v>
      </c>
      <c r="R18" s="148"/>
      <c r="S18" s="150">
        <v>52</v>
      </c>
      <c r="T18" s="150">
        <v>52</v>
      </c>
      <c r="U18" s="150">
        <v>26</v>
      </c>
      <c r="V18" s="150">
        <v>26</v>
      </c>
      <c r="W18" s="149"/>
      <c r="X18" s="149"/>
      <c r="Y18" s="151">
        <v>0</v>
      </c>
      <c r="Z18" s="152">
        <v>0</v>
      </c>
      <c r="AA18" s="150"/>
      <c r="AB18" s="148"/>
      <c r="AC18" s="153"/>
      <c r="AD18" s="166">
        <v>1</v>
      </c>
      <c r="AE18" s="211">
        <v>1</v>
      </c>
      <c r="AF18" s="172"/>
      <c r="AG18" s="173"/>
      <c r="AH18" s="173"/>
      <c r="AI18" s="173"/>
      <c r="AJ18" s="173"/>
      <c r="AK18" s="173"/>
      <c r="AL18" s="173"/>
      <c r="AM18" s="173"/>
      <c r="AN18" s="173"/>
      <c r="AO18" s="173"/>
      <c r="AP18" s="173" t="str">
        <f>"    " &amp; TEXT(AE18,"#0.00%") &amp; " " &amp; "발표 준비" &amp; " " &amp; IF(P18="","",TEXT(P18,"M/D-")) &amp; IF(Q18="","",TEXT(Q18,"M/D")) &amp; " "</f>
        <v xml:space="preserve">    100.00% 발표 준비 10/12-11/16 </v>
      </c>
      <c r="AQ18" s="173"/>
      <c r="AR18" s="173"/>
      <c r="AS18" s="173"/>
    </row>
    <row r="19" spans="1:45" ht="12" customHeight="1" outlineLevel="2">
      <c r="A19" s="147"/>
      <c r="B19" s="147"/>
      <c r="C19" s="147">
        <v>3</v>
      </c>
      <c r="D19" s="167" t="s">
        <v>1565</v>
      </c>
      <c r="E19" s="148"/>
      <c r="F19" s="148"/>
      <c r="G19" s="148" t="s">
        <v>1560</v>
      </c>
      <c r="H19" s="148"/>
      <c r="I19" s="148"/>
      <c r="J19" s="148"/>
      <c r="K19" s="148"/>
      <c r="L19" s="148"/>
      <c r="M19" s="148"/>
      <c r="N19" s="148"/>
      <c r="O19" s="148"/>
      <c r="P19" s="149">
        <v>44846</v>
      </c>
      <c r="Q19" s="149">
        <v>44881</v>
      </c>
      <c r="R19" s="148"/>
      <c r="S19" s="150">
        <v>26</v>
      </c>
      <c r="T19" s="150">
        <v>26</v>
      </c>
      <c r="U19" s="150">
        <v>26</v>
      </c>
      <c r="V19" s="150">
        <v>26</v>
      </c>
      <c r="W19" s="149"/>
      <c r="X19" s="149"/>
      <c r="Y19" s="151"/>
      <c r="Z19" s="152">
        <v>0</v>
      </c>
      <c r="AA19" s="150"/>
      <c r="AB19" s="148"/>
      <c r="AC19" s="153"/>
      <c r="AD19" s="166">
        <v>1</v>
      </c>
      <c r="AE19" s="176">
        <v>1</v>
      </c>
      <c r="AF19" s="172"/>
      <c r="AG19" s="173"/>
      <c r="AH19" s="173"/>
      <c r="AI19" s="173"/>
      <c r="AJ19" s="173"/>
      <c r="AK19" s="173"/>
      <c r="AL19" s="173"/>
      <c r="AM19" s="173"/>
      <c r="AN19" s="173"/>
      <c r="AO19" s="173"/>
      <c r="AP19" s="173" t="str">
        <f>"    " &amp; TEXT(AE19,"#0.00%") &amp; " " &amp; "PPT 작성" &amp; " " &amp; IF(P19="","",TEXT(P19,"M/D-")) &amp; IF(Q19="","",TEXT(Q19,"M/D")) &amp; " "</f>
        <v xml:space="preserve">    100.00% PPT 작성 10/12-11/16 </v>
      </c>
      <c r="AQ19" s="173"/>
      <c r="AR19" s="173"/>
      <c r="AS19" s="173"/>
    </row>
    <row r="20" spans="1:45" ht="12" customHeight="1" outlineLevel="2">
      <c r="A20" s="147"/>
      <c r="B20" s="147"/>
      <c r="C20" s="147">
        <v>3</v>
      </c>
      <c r="D20" s="167" t="s">
        <v>1566</v>
      </c>
      <c r="E20" s="148"/>
      <c r="F20" s="148"/>
      <c r="G20" s="148" t="s">
        <v>1562</v>
      </c>
      <c r="H20" s="148"/>
      <c r="I20" s="148"/>
      <c r="J20" s="148"/>
      <c r="K20" s="148"/>
      <c r="L20" s="148"/>
      <c r="M20" s="148"/>
      <c r="N20" s="148"/>
      <c r="O20" s="148"/>
      <c r="P20" s="149">
        <v>44846</v>
      </c>
      <c r="Q20" s="149">
        <v>44881</v>
      </c>
      <c r="R20" s="148"/>
      <c r="S20" s="150">
        <v>26</v>
      </c>
      <c r="T20" s="150">
        <v>26</v>
      </c>
      <c r="U20" s="150">
        <v>26</v>
      </c>
      <c r="V20" s="150">
        <v>26</v>
      </c>
      <c r="W20" s="149"/>
      <c r="X20" s="149"/>
      <c r="Y20" s="151"/>
      <c r="Z20" s="152">
        <v>0</v>
      </c>
      <c r="AA20" s="150"/>
      <c r="AB20" s="148"/>
      <c r="AC20" s="153"/>
      <c r="AD20" s="166">
        <v>1</v>
      </c>
      <c r="AE20" s="176">
        <v>1</v>
      </c>
      <c r="AF20" s="172"/>
      <c r="AG20" s="173"/>
      <c r="AH20" s="173"/>
      <c r="AI20" s="173"/>
      <c r="AJ20" s="173"/>
      <c r="AK20" s="173"/>
      <c r="AL20" s="173"/>
      <c r="AM20" s="173"/>
      <c r="AN20" s="173"/>
      <c r="AO20" s="173"/>
      <c r="AP20" s="173" t="str">
        <f>"    " &amp; TEXT(AE20,"#0.00%") &amp; " " &amp; "발표 자료 작성" &amp; " " &amp; IF(P20="","",TEXT(P20,"M/D-")) &amp; IF(Q20="","",TEXT(Q20,"M/D")) &amp; " "</f>
        <v xml:space="preserve">    100.00% 발표 자료 작성 10/12-11/16 </v>
      </c>
      <c r="AQ20" s="173"/>
      <c r="AR20" s="173"/>
      <c r="AS20" s="173"/>
    </row>
    <row r="21" spans="1:45" ht="12" customHeight="1" outlineLevel="1">
      <c r="A21" s="147"/>
      <c r="B21" s="147" t="s">
        <v>1353</v>
      </c>
      <c r="C21" s="147">
        <v>2</v>
      </c>
      <c r="D21" s="167" t="s">
        <v>1589</v>
      </c>
      <c r="E21" s="148"/>
      <c r="F21" s="148" t="s">
        <v>1548</v>
      </c>
      <c r="G21" s="148"/>
      <c r="H21" s="148"/>
      <c r="I21" s="148"/>
      <c r="J21" s="148"/>
      <c r="K21" s="148"/>
      <c r="L21" s="148"/>
      <c r="M21" s="148"/>
      <c r="N21" s="148"/>
      <c r="O21" s="148"/>
      <c r="P21" s="149">
        <v>44886</v>
      </c>
      <c r="Q21" s="149">
        <v>44893</v>
      </c>
      <c r="R21" s="148"/>
      <c r="S21" s="150">
        <v>12</v>
      </c>
      <c r="T21" s="150">
        <v>12</v>
      </c>
      <c r="U21" s="150">
        <v>6</v>
      </c>
      <c r="V21" s="150">
        <v>6</v>
      </c>
      <c r="W21" s="149"/>
      <c r="X21" s="149"/>
      <c r="Y21" s="151">
        <v>0</v>
      </c>
      <c r="Z21" s="152">
        <v>0</v>
      </c>
      <c r="AA21" s="150"/>
      <c r="AB21" s="148"/>
      <c r="AC21" s="153"/>
      <c r="AD21" s="166">
        <v>1</v>
      </c>
      <c r="AE21" s="175">
        <v>0</v>
      </c>
      <c r="AF21" s="172"/>
      <c r="AG21" s="173"/>
      <c r="AH21" s="173"/>
      <c r="AI21" s="173"/>
      <c r="AJ21" s="173"/>
      <c r="AK21" s="173"/>
      <c r="AL21" s="173"/>
      <c r="AM21" s="173"/>
      <c r="AN21" s="173"/>
      <c r="AO21" s="173"/>
      <c r="AP21" s="173"/>
      <c r="AQ21" s="173" t="str">
        <f>" " &amp; TEXT(AE21,"#0.00%") &amp; " " &amp; "발표" &amp; " " &amp; IF(P21="","",TEXT(P21,"M/D-")) &amp; IF(Q21="","",TEXT(Q21,"M/D")) &amp; " "</f>
        <v xml:space="preserve"> 0.00% 발표 11/21-11/28 </v>
      </c>
      <c r="AR21" s="173"/>
      <c r="AS21" s="173"/>
    </row>
    <row r="22" spans="1:45" ht="12" customHeight="1" outlineLevel="2">
      <c r="A22" s="147"/>
      <c r="B22" s="147"/>
      <c r="C22" s="147">
        <v>3</v>
      </c>
      <c r="D22" s="167" t="s">
        <v>1590</v>
      </c>
      <c r="E22" s="148"/>
      <c r="F22" s="148"/>
      <c r="G22" s="148" t="s">
        <v>1563</v>
      </c>
      <c r="H22" s="148"/>
      <c r="I22" s="148"/>
      <c r="J22" s="148"/>
      <c r="K22" s="148"/>
      <c r="L22" s="148"/>
      <c r="M22" s="148"/>
      <c r="N22" s="148"/>
      <c r="O22" s="148"/>
      <c r="P22" s="149">
        <v>44886</v>
      </c>
      <c r="Q22" s="149">
        <v>44893</v>
      </c>
      <c r="R22" s="148"/>
      <c r="S22" s="150">
        <v>6</v>
      </c>
      <c r="T22" s="150">
        <v>6</v>
      </c>
      <c r="U22" s="150">
        <v>6</v>
      </c>
      <c r="V22" s="150">
        <v>6</v>
      </c>
      <c r="W22" s="149"/>
      <c r="X22" s="149"/>
      <c r="Y22" s="151"/>
      <c r="Z22" s="152">
        <v>0</v>
      </c>
      <c r="AA22" s="150"/>
      <c r="AB22" s="148"/>
      <c r="AC22" s="153"/>
      <c r="AD22" s="166">
        <v>1</v>
      </c>
      <c r="AE22" s="174">
        <v>0</v>
      </c>
      <c r="AF22" s="172"/>
      <c r="AG22" s="173"/>
      <c r="AH22" s="173"/>
      <c r="AI22" s="173"/>
      <c r="AJ22" s="173"/>
      <c r="AK22" s="173"/>
      <c r="AL22" s="173"/>
      <c r="AM22" s="173"/>
      <c r="AN22" s="173"/>
      <c r="AO22" s="173"/>
      <c r="AP22" s="173"/>
      <c r="AQ22" s="173" t="str">
        <f>" " &amp; TEXT(AE22,"#0.00%") &amp; " " &amp; "캡스톤 부스 꾸미기" &amp; " " &amp; IF(P22="","",TEXT(P22,"M/D-")) &amp; IF(Q22="","",TEXT(Q22,"M/D")) &amp; " "</f>
        <v xml:space="preserve"> 0.00% 캡스톤 부스 꾸미기 11/21-11/28 </v>
      </c>
      <c r="AR22" s="173"/>
      <c r="AS22" s="173"/>
    </row>
    <row r="23" spans="1:45" ht="12" customHeight="1" outlineLevel="2">
      <c r="A23" s="147"/>
      <c r="B23" s="147"/>
      <c r="C23" s="147">
        <v>3</v>
      </c>
      <c r="D23" s="167" t="s">
        <v>1591</v>
      </c>
      <c r="E23" s="148"/>
      <c r="F23" s="148"/>
      <c r="G23" s="148" t="s">
        <v>1564</v>
      </c>
      <c r="H23" s="148"/>
      <c r="I23" s="148"/>
      <c r="J23" s="148"/>
      <c r="K23" s="148"/>
      <c r="L23" s="148"/>
      <c r="M23" s="148"/>
      <c r="N23" s="148"/>
      <c r="O23" s="148"/>
      <c r="P23" s="149">
        <v>44886</v>
      </c>
      <c r="Q23" s="149">
        <v>44893</v>
      </c>
      <c r="R23" s="148"/>
      <c r="S23" s="150">
        <v>6</v>
      </c>
      <c r="T23" s="150">
        <v>6</v>
      </c>
      <c r="U23" s="150">
        <v>6</v>
      </c>
      <c r="V23" s="150">
        <v>6</v>
      </c>
      <c r="W23" s="149"/>
      <c r="X23" s="149"/>
      <c r="Y23" s="151"/>
      <c r="Z23" s="152">
        <v>0</v>
      </c>
      <c r="AA23" s="150"/>
      <c r="AB23" s="148"/>
      <c r="AC23" s="153"/>
      <c r="AD23" s="166">
        <v>1</v>
      </c>
      <c r="AE23" s="174">
        <v>0</v>
      </c>
      <c r="AF23" s="172"/>
      <c r="AG23" s="173"/>
      <c r="AH23" s="173"/>
      <c r="AI23" s="173"/>
      <c r="AJ23" s="173"/>
      <c r="AK23" s="173"/>
      <c r="AL23" s="173"/>
      <c r="AM23" s="173"/>
      <c r="AN23" s="173"/>
      <c r="AO23" s="173"/>
      <c r="AP23" s="173"/>
      <c r="AQ23" s="173" t="str">
        <f>" " &amp; TEXT(AE23,"#0.00%") &amp; " " &amp; "담당자 분배" &amp; " " &amp; IF(P23="","",TEXT(P23,"M/D-")) &amp; IF(Q23="","",TEXT(Q23,"M/D")) &amp; " "</f>
        <v xml:space="preserve"> 0.00% 담당자 분배 11/21-11/28 </v>
      </c>
      <c r="AR23" s="173"/>
      <c r="AS23" s="173"/>
    </row>
    <row r="24" spans="1:45" ht="12" customHeight="1">
      <c r="A24" s="147"/>
      <c r="B24" s="147" t="s">
        <v>1353</v>
      </c>
      <c r="C24" s="147">
        <v>1</v>
      </c>
      <c r="D24" s="167" t="s">
        <v>776</v>
      </c>
      <c r="E24" s="148" t="s">
        <v>1439</v>
      </c>
      <c r="F24" s="148"/>
      <c r="G24" s="148"/>
      <c r="H24" s="148"/>
      <c r="I24" s="148"/>
      <c r="J24" s="148"/>
      <c r="K24" s="148"/>
      <c r="L24" s="148"/>
      <c r="M24" s="148"/>
      <c r="N24" s="220"/>
      <c r="O24" s="148"/>
      <c r="P24" s="149">
        <v>44811</v>
      </c>
      <c r="Q24" s="149">
        <v>44818</v>
      </c>
      <c r="R24" s="148"/>
      <c r="S24" s="150">
        <v>4</v>
      </c>
      <c r="T24" s="150">
        <v>4</v>
      </c>
      <c r="U24" s="150">
        <v>4</v>
      </c>
      <c r="V24" s="150">
        <v>4</v>
      </c>
      <c r="W24" s="149"/>
      <c r="X24" s="149"/>
      <c r="Y24" s="151">
        <v>0</v>
      </c>
      <c r="Z24" s="152">
        <v>0</v>
      </c>
      <c r="AA24" s="150"/>
      <c r="AB24" s="148"/>
      <c r="AC24" s="153"/>
      <c r="AD24" s="166">
        <v>1</v>
      </c>
      <c r="AE24" s="211">
        <v>1</v>
      </c>
      <c r="AF24" s="172"/>
      <c r="AG24" s="173" t="str">
        <f>"    " &amp; TEXT(AE24,"#0.00%") &amp; " " &amp; "분석" &amp; " " &amp; IF(P24="","",TEXT(P24,"M/D-")) &amp; IF(Q24="","",TEXT(Q24,"M/D")) &amp; " "</f>
        <v xml:space="preserve">    100.00% 분석 9/7-9/14 </v>
      </c>
      <c r="AH24" s="173"/>
      <c r="AI24" s="173"/>
      <c r="AJ24" s="173"/>
      <c r="AK24" s="173"/>
      <c r="AL24" s="173"/>
      <c r="AM24" s="173"/>
      <c r="AN24" s="173"/>
      <c r="AO24" s="173"/>
      <c r="AP24" s="173"/>
      <c r="AQ24" s="173"/>
      <c r="AR24" s="173"/>
      <c r="AS24" s="173"/>
    </row>
    <row r="25" spans="1:45" ht="12" customHeight="1" outlineLevel="1">
      <c r="A25" s="147"/>
      <c r="B25" s="147"/>
      <c r="C25" s="147">
        <v>2</v>
      </c>
      <c r="D25" s="167" t="s">
        <v>1453</v>
      </c>
      <c r="E25" s="148"/>
      <c r="F25" s="148" t="s">
        <v>1551</v>
      </c>
      <c r="G25" s="148"/>
      <c r="H25" s="148"/>
      <c r="I25" s="148"/>
      <c r="J25" s="148"/>
      <c r="K25" s="148"/>
      <c r="L25" s="148"/>
      <c r="M25" s="148"/>
      <c r="N25" s="220"/>
      <c r="O25" s="148"/>
      <c r="P25" s="149">
        <v>44811</v>
      </c>
      <c r="Q25" s="149">
        <v>44818</v>
      </c>
      <c r="R25" s="148"/>
      <c r="S25" s="150">
        <v>4</v>
      </c>
      <c r="T25" s="150">
        <v>4</v>
      </c>
      <c r="U25" s="150">
        <v>4</v>
      </c>
      <c r="V25" s="150">
        <v>4</v>
      </c>
      <c r="W25" s="149"/>
      <c r="X25" s="149"/>
      <c r="Y25" s="151"/>
      <c r="Z25" s="152">
        <v>0</v>
      </c>
      <c r="AA25" s="150"/>
      <c r="AB25" s="148"/>
      <c r="AC25" s="153"/>
      <c r="AD25" s="166">
        <v>1</v>
      </c>
      <c r="AE25" s="176">
        <v>1</v>
      </c>
      <c r="AF25" s="172"/>
      <c r="AG25" s="173" t="str">
        <f>"    " &amp; TEXT(AE25,"#0.00%") &amp; " " &amp; "요구사항 정의" &amp; " " &amp; IF(P25="","",TEXT(P25,"M/D-")) &amp; IF(Q25="","",TEXT(Q25,"M/D")) &amp; " "</f>
        <v xml:space="preserve">    100.00% 요구사항 정의 9/7-9/14 </v>
      </c>
      <c r="AH25" s="173"/>
      <c r="AI25" s="173"/>
      <c r="AJ25" s="173"/>
      <c r="AK25" s="173"/>
      <c r="AL25" s="173"/>
      <c r="AM25" s="173"/>
      <c r="AN25" s="173"/>
      <c r="AO25" s="173"/>
      <c r="AP25" s="173"/>
      <c r="AQ25" s="173"/>
      <c r="AR25" s="173"/>
      <c r="AS25" s="173"/>
    </row>
    <row r="26" spans="1:45" ht="12" customHeight="1">
      <c r="A26" s="147"/>
      <c r="B26" s="147" t="s">
        <v>1353</v>
      </c>
      <c r="C26" s="147">
        <v>1</v>
      </c>
      <c r="D26" s="167" t="s">
        <v>1531</v>
      </c>
      <c r="E26" s="148" t="s">
        <v>1443</v>
      </c>
      <c r="F26" s="148"/>
      <c r="G26" s="148"/>
      <c r="H26" s="148"/>
      <c r="I26" s="148"/>
      <c r="J26" s="148"/>
      <c r="K26" s="148"/>
      <c r="L26" s="148"/>
      <c r="M26" s="148"/>
      <c r="N26" s="220"/>
      <c r="O26" s="148"/>
      <c r="P26" s="149">
        <v>44818</v>
      </c>
      <c r="Q26" s="149">
        <v>44839</v>
      </c>
      <c r="R26" s="148"/>
      <c r="S26" s="150">
        <v>375</v>
      </c>
      <c r="T26" s="150">
        <v>375</v>
      </c>
      <c r="U26" s="150">
        <v>15</v>
      </c>
      <c r="V26" s="150">
        <v>15</v>
      </c>
      <c r="W26" s="149"/>
      <c r="X26" s="149"/>
      <c r="Y26" s="151">
        <v>0</v>
      </c>
      <c r="Z26" s="152">
        <v>0</v>
      </c>
      <c r="AA26" s="150"/>
      <c r="AB26" s="148"/>
      <c r="AC26" s="153"/>
      <c r="AD26" s="166">
        <v>1</v>
      </c>
      <c r="AE26" s="211">
        <v>1</v>
      </c>
      <c r="AF26" s="172"/>
      <c r="AG26" s="173"/>
      <c r="AH26" s="173"/>
      <c r="AI26" s="173"/>
      <c r="AJ26" s="173" t="str">
        <f>"    " &amp; TEXT(AE26,"#0.00%") &amp; " " &amp; "설계" &amp; " " &amp; IF(P26="","",TEXT(P26,"M/D-")) &amp; IF(Q26="","",TEXT(Q26,"M/D")) &amp; " "</f>
        <v xml:space="preserve">    100.00% 설계 9/14-10/5 </v>
      </c>
      <c r="AK26" s="173"/>
      <c r="AL26" s="173"/>
      <c r="AM26" s="173"/>
      <c r="AN26" s="173"/>
      <c r="AO26" s="173"/>
      <c r="AP26" s="173"/>
      <c r="AQ26" s="173"/>
      <c r="AR26" s="173"/>
      <c r="AS26" s="173"/>
    </row>
    <row r="27" spans="1:45" ht="12" customHeight="1" outlineLevel="1">
      <c r="A27" s="147"/>
      <c r="B27" s="147" t="s">
        <v>1353</v>
      </c>
      <c r="C27" s="147">
        <v>2</v>
      </c>
      <c r="D27" s="167" t="s">
        <v>1614</v>
      </c>
      <c r="E27" s="148"/>
      <c r="F27" s="148" t="s">
        <v>1554</v>
      </c>
      <c r="G27" s="148"/>
      <c r="H27" s="148"/>
      <c r="I27" s="148"/>
      <c r="J27" s="148"/>
      <c r="K27" s="148"/>
      <c r="L27" s="148"/>
      <c r="M27" s="148"/>
      <c r="N27" s="220"/>
      <c r="O27" s="148"/>
      <c r="P27" s="149">
        <v>44818</v>
      </c>
      <c r="Q27" s="149">
        <v>44825</v>
      </c>
      <c r="R27" s="148"/>
      <c r="S27" s="150">
        <v>12</v>
      </c>
      <c r="T27" s="150">
        <v>12</v>
      </c>
      <c r="U27" s="150">
        <v>6</v>
      </c>
      <c r="V27" s="150">
        <v>6</v>
      </c>
      <c r="W27" s="149"/>
      <c r="X27" s="149"/>
      <c r="Y27" s="151">
        <v>0</v>
      </c>
      <c r="Z27" s="152">
        <v>0</v>
      </c>
      <c r="AA27" s="150"/>
      <c r="AB27" s="148"/>
      <c r="AC27" s="153"/>
      <c r="AD27" s="166">
        <v>1</v>
      </c>
      <c r="AE27" s="211">
        <v>1</v>
      </c>
      <c r="AF27" s="172"/>
      <c r="AG27" s="173"/>
      <c r="AH27" s="173" t="str">
        <f>"    " &amp; TEXT(AE27,"#0.00%") &amp; " " &amp; "UI" &amp; " " &amp; IF(P27="","",TEXT(P27,"M/D-")) &amp; IF(Q27="","",TEXT(Q27,"M/D")) &amp; " "</f>
        <v xml:space="preserve">    100.00% UI 9/14-9/21 </v>
      </c>
      <c r="AI27" s="173"/>
      <c r="AJ27" s="173"/>
      <c r="AK27" s="173"/>
      <c r="AL27" s="173"/>
      <c r="AM27" s="173"/>
      <c r="AN27" s="173"/>
      <c r="AO27" s="173"/>
      <c r="AP27" s="173"/>
      <c r="AQ27" s="173"/>
      <c r="AR27" s="173"/>
      <c r="AS27" s="173"/>
    </row>
    <row r="28" spans="1:45" ht="12" customHeight="1" outlineLevel="2">
      <c r="A28" s="147"/>
      <c r="B28" s="147"/>
      <c r="C28" s="147">
        <v>3</v>
      </c>
      <c r="D28" s="167" t="s">
        <v>1615</v>
      </c>
      <c r="E28" s="148"/>
      <c r="F28" s="148"/>
      <c r="G28" s="148" t="s">
        <v>1597</v>
      </c>
      <c r="H28" s="148"/>
      <c r="I28" s="148"/>
      <c r="J28" s="148"/>
      <c r="K28" s="148"/>
      <c r="L28" s="148"/>
      <c r="M28" s="148"/>
      <c r="N28" s="220"/>
      <c r="O28" s="148"/>
      <c r="P28" s="149">
        <v>44818</v>
      </c>
      <c r="Q28" s="149">
        <v>44825</v>
      </c>
      <c r="R28" s="148"/>
      <c r="S28" s="150">
        <v>6</v>
      </c>
      <c r="T28" s="150">
        <v>6</v>
      </c>
      <c r="U28" s="150">
        <v>6</v>
      </c>
      <c r="V28" s="150">
        <v>6</v>
      </c>
      <c r="W28" s="149"/>
      <c r="X28" s="149"/>
      <c r="Y28" s="151"/>
      <c r="Z28" s="152">
        <v>0</v>
      </c>
      <c r="AA28" s="150"/>
      <c r="AB28" s="148" t="s">
        <v>1572</v>
      </c>
      <c r="AC28" s="153" t="s">
        <v>1705</v>
      </c>
      <c r="AD28" s="166">
        <v>1</v>
      </c>
      <c r="AE28" s="176">
        <v>1</v>
      </c>
      <c r="AF28" s="172"/>
      <c r="AG28" s="173"/>
      <c r="AH28" s="173" t="str">
        <f>"    " &amp; TEXT(AE28,"#0.00%") &amp; " " &amp; "클라이언트 UI 설계도 작성" &amp; "(이종수)" &amp; " " &amp; IF(P28="","",TEXT(P28,"M/D-")) &amp; IF(Q28="","",TEXT(Q28,"M/D")) &amp; " "</f>
        <v xml:space="preserve">    100.00% 클라이언트 UI 설계도 작성(이종수) 9/14-9/21 </v>
      </c>
      <c r="AI28" s="173"/>
      <c r="AJ28" s="173"/>
      <c r="AK28" s="173"/>
      <c r="AL28" s="173"/>
      <c r="AM28" s="173"/>
      <c r="AN28" s="173"/>
      <c r="AO28" s="173"/>
      <c r="AP28" s="173"/>
      <c r="AQ28" s="173"/>
      <c r="AR28" s="173"/>
      <c r="AS28" s="173"/>
    </row>
    <row r="29" spans="1:45" ht="12" customHeight="1" outlineLevel="2">
      <c r="A29" s="147"/>
      <c r="B29" s="147"/>
      <c r="C29" s="147">
        <v>3</v>
      </c>
      <c r="D29" s="167" t="s">
        <v>1616</v>
      </c>
      <c r="E29" s="148"/>
      <c r="F29" s="148"/>
      <c r="G29" s="148" t="s">
        <v>1596</v>
      </c>
      <c r="H29" s="148"/>
      <c r="I29" s="148"/>
      <c r="J29" s="148"/>
      <c r="K29" s="148"/>
      <c r="L29" s="148"/>
      <c r="M29" s="148"/>
      <c r="N29" s="220"/>
      <c r="O29" s="148"/>
      <c r="P29" s="149">
        <v>44818</v>
      </c>
      <c r="Q29" s="149">
        <v>44825</v>
      </c>
      <c r="R29" s="148"/>
      <c r="S29" s="150">
        <v>6</v>
      </c>
      <c r="T29" s="150">
        <v>6</v>
      </c>
      <c r="U29" s="150">
        <v>6</v>
      </c>
      <c r="V29" s="150">
        <v>6</v>
      </c>
      <c r="W29" s="149"/>
      <c r="X29" s="149"/>
      <c r="Y29" s="151"/>
      <c r="Z29" s="152">
        <v>0</v>
      </c>
      <c r="AA29" s="150"/>
      <c r="AB29" s="148" t="s">
        <v>1570</v>
      </c>
      <c r="AC29" s="153" t="s">
        <v>1705</v>
      </c>
      <c r="AD29" s="166">
        <v>1</v>
      </c>
      <c r="AE29" s="176">
        <v>1</v>
      </c>
      <c r="AF29" s="172"/>
      <c r="AG29" s="173"/>
      <c r="AH29" s="173" t="str">
        <f>"    " &amp; TEXT(AE29,"#0.00%") &amp; " " &amp; "서버 UI 설계도 작성" &amp; "(장진)" &amp; " " &amp; IF(P29="","",TEXT(P29,"M/D-")) &amp; IF(Q29="","",TEXT(Q29,"M/D")) &amp; " "</f>
        <v xml:space="preserve">    100.00% 서버 UI 설계도 작성(장진) 9/14-9/21 </v>
      </c>
      <c r="AI29" s="173"/>
      <c r="AJ29" s="173"/>
      <c r="AK29" s="173"/>
      <c r="AL29" s="173"/>
      <c r="AM29" s="173"/>
      <c r="AN29" s="173"/>
      <c r="AO29" s="173"/>
      <c r="AP29" s="173"/>
      <c r="AQ29" s="173"/>
      <c r="AR29" s="173"/>
      <c r="AS29" s="173"/>
    </row>
    <row r="30" spans="1:45" ht="12" customHeight="1" outlineLevel="1">
      <c r="A30" s="147"/>
      <c r="B30" s="147" t="s">
        <v>1353</v>
      </c>
      <c r="C30" s="147">
        <v>2</v>
      </c>
      <c r="D30" s="167" t="s">
        <v>1617</v>
      </c>
      <c r="E30" s="148"/>
      <c r="F30" s="148" t="s">
        <v>1480</v>
      </c>
      <c r="G30" s="148"/>
      <c r="H30" s="148"/>
      <c r="I30" s="148"/>
      <c r="J30" s="148"/>
      <c r="K30" s="148"/>
      <c r="L30" s="148"/>
      <c r="M30" s="148"/>
      <c r="N30" s="220"/>
      <c r="O30" s="148"/>
      <c r="P30" s="149">
        <v>44818</v>
      </c>
      <c r="Q30" s="149">
        <v>44832</v>
      </c>
      <c r="R30" s="148"/>
      <c r="S30" s="150">
        <v>29</v>
      </c>
      <c r="T30" s="150">
        <v>29</v>
      </c>
      <c r="U30" s="150">
        <v>11</v>
      </c>
      <c r="V30" s="150">
        <v>11</v>
      </c>
      <c r="W30" s="149"/>
      <c r="X30" s="149"/>
      <c r="Y30" s="151">
        <v>0</v>
      </c>
      <c r="Z30" s="152">
        <v>0</v>
      </c>
      <c r="AA30" s="150"/>
      <c r="AB30" s="148"/>
      <c r="AC30" s="153"/>
      <c r="AD30" s="166">
        <v>1</v>
      </c>
      <c r="AE30" s="211">
        <v>1</v>
      </c>
      <c r="AF30" s="172"/>
      <c r="AG30" s="173"/>
      <c r="AH30" s="173"/>
      <c r="AI30" s="173" t="str">
        <f>"    " &amp; TEXT(AE30,"#0.00%") &amp; " " &amp; "시스템 설계" &amp; " " &amp; IF(P30="","",TEXT(P30,"M/D-")) &amp; IF(Q30="","",TEXT(Q30,"M/D")) &amp; " "</f>
        <v xml:space="preserve">    100.00% 시스템 설계 9/14-9/28 </v>
      </c>
      <c r="AJ30" s="173"/>
      <c r="AK30" s="173"/>
      <c r="AL30" s="173"/>
      <c r="AM30" s="173"/>
      <c r="AN30" s="173"/>
      <c r="AO30" s="173"/>
      <c r="AP30" s="173"/>
      <c r="AQ30" s="173"/>
      <c r="AR30" s="173"/>
      <c r="AS30" s="173"/>
    </row>
    <row r="31" spans="1:45" ht="12" customHeight="1" outlineLevel="2">
      <c r="A31" s="147"/>
      <c r="B31" s="147"/>
      <c r="C31" s="147">
        <v>3</v>
      </c>
      <c r="D31" s="167" t="s">
        <v>1618</v>
      </c>
      <c r="E31" s="148"/>
      <c r="F31" s="148"/>
      <c r="G31" s="148" t="s">
        <v>1555</v>
      </c>
      <c r="H31" s="148"/>
      <c r="I31" s="148"/>
      <c r="J31" s="148"/>
      <c r="K31" s="148"/>
      <c r="L31" s="148"/>
      <c r="M31" s="148"/>
      <c r="N31" s="220"/>
      <c r="O31" s="148"/>
      <c r="P31" s="149">
        <v>44818</v>
      </c>
      <c r="Q31" s="149">
        <v>44825</v>
      </c>
      <c r="R31" s="148"/>
      <c r="S31" s="150">
        <v>6</v>
      </c>
      <c r="T31" s="150">
        <v>6</v>
      </c>
      <c r="U31" s="150">
        <v>6</v>
      </c>
      <c r="V31" s="150">
        <v>6</v>
      </c>
      <c r="W31" s="149"/>
      <c r="X31" s="149"/>
      <c r="Y31" s="151"/>
      <c r="Z31" s="152">
        <v>0</v>
      </c>
      <c r="AA31" s="150"/>
      <c r="AB31" s="148" t="s">
        <v>1568</v>
      </c>
      <c r="AC31" s="153"/>
      <c r="AD31" s="166">
        <v>1</v>
      </c>
      <c r="AE31" s="176">
        <v>1</v>
      </c>
      <c r="AF31" s="172"/>
      <c r="AG31" s="173"/>
      <c r="AH31" s="173" t="str">
        <f>"    " &amp; TEXT(AE31,"#0.00%") &amp; " " &amp; "Git  구조 설계" &amp; "(이무현)" &amp; " " &amp; IF(P31="","",TEXT(P31,"M/D-")) &amp; IF(Q31="","",TEXT(Q31,"M/D")) &amp; " "</f>
        <v xml:space="preserve">    100.00% Git  구조 설계(이무현) 9/14-9/21 </v>
      </c>
      <c r="AI31" s="173"/>
      <c r="AJ31" s="173"/>
      <c r="AK31" s="173"/>
      <c r="AL31" s="173"/>
      <c r="AM31" s="173"/>
      <c r="AN31" s="173"/>
      <c r="AO31" s="173"/>
      <c r="AP31" s="173"/>
      <c r="AQ31" s="173"/>
      <c r="AR31" s="173"/>
      <c r="AS31" s="173"/>
    </row>
    <row r="32" spans="1:45" ht="12" customHeight="1" outlineLevel="2">
      <c r="A32" s="147"/>
      <c r="B32" s="147"/>
      <c r="C32" s="147">
        <v>3</v>
      </c>
      <c r="D32" s="167" t="s">
        <v>1619</v>
      </c>
      <c r="E32" s="148"/>
      <c r="F32" s="148"/>
      <c r="G32" s="148" t="s">
        <v>1556</v>
      </c>
      <c r="H32" s="148"/>
      <c r="I32" s="148"/>
      <c r="J32" s="148"/>
      <c r="K32" s="148"/>
      <c r="L32" s="148"/>
      <c r="M32" s="148"/>
      <c r="N32" s="220"/>
      <c r="O32" s="148"/>
      <c r="P32" s="149">
        <v>44818</v>
      </c>
      <c r="Q32" s="149">
        <v>44825</v>
      </c>
      <c r="R32" s="148"/>
      <c r="S32" s="150">
        <v>6</v>
      </c>
      <c r="T32" s="150">
        <v>6</v>
      </c>
      <c r="U32" s="150">
        <v>6</v>
      </c>
      <c r="V32" s="150">
        <v>6</v>
      </c>
      <c r="W32" s="149"/>
      <c r="X32" s="149"/>
      <c r="Y32" s="151"/>
      <c r="Z32" s="152">
        <v>0</v>
      </c>
      <c r="AA32" s="150"/>
      <c r="AB32" s="148" t="s">
        <v>1571</v>
      </c>
      <c r="AC32" s="153"/>
      <c r="AD32" s="166">
        <v>1</v>
      </c>
      <c r="AE32" s="176">
        <v>1</v>
      </c>
      <c r="AF32" s="172"/>
      <c r="AG32" s="173"/>
      <c r="AH32" s="173" t="str">
        <f>"    " &amp; TEXT(AE32,"#0.00%") &amp; " " &amp; "클라이언트 설계" &amp; "(유영주)" &amp; " " &amp; IF(P32="","",TEXT(P32,"M/D-")) &amp; IF(Q32="","",TEXT(Q32,"M/D")) &amp; " "</f>
        <v xml:space="preserve">    100.00% 클라이언트 설계(유영주) 9/14-9/21 </v>
      </c>
      <c r="AI32" s="173"/>
      <c r="AJ32" s="173"/>
      <c r="AK32" s="173"/>
      <c r="AL32" s="173"/>
      <c r="AM32" s="173"/>
      <c r="AN32" s="173"/>
      <c r="AO32" s="173"/>
      <c r="AP32" s="173"/>
      <c r="AQ32" s="173"/>
      <c r="AR32" s="173"/>
      <c r="AS32" s="173"/>
    </row>
    <row r="33" spans="1:45" ht="12" customHeight="1" outlineLevel="2">
      <c r="A33" s="147"/>
      <c r="B33" s="147"/>
      <c r="C33" s="147">
        <v>3</v>
      </c>
      <c r="D33" s="167" t="s">
        <v>1620</v>
      </c>
      <c r="E33" s="148"/>
      <c r="F33" s="148"/>
      <c r="G33" s="148" t="s">
        <v>1557</v>
      </c>
      <c r="H33" s="148"/>
      <c r="I33" s="148"/>
      <c r="J33" s="148"/>
      <c r="K33" s="148"/>
      <c r="L33" s="148"/>
      <c r="M33" s="148"/>
      <c r="N33" s="220"/>
      <c r="O33" s="148"/>
      <c r="P33" s="149">
        <v>44818</v>
      </c>
      <c r="Q33" s="149">
        <v>44832</v>
      </c>
      <c r="R33" s="148"/>
      <c r="S33" s="150">
        <v>11</v>
      </c>
      <c r="T33" s="150">
        <v>11</v>
      </c>
      <c r="U33" s="150">
        <v>11</v>
      </c>
      <c r="V33" s="150">
        <v>11</v>
      </c>
      <c r="W33" s="149"/>
      <c r="X33" s="149"/>
      <c r="Y33" s="151"/>
      <c r="Z33" s="152">
        <v>0</v>
      </c>
      <c r="AA33" s="150"/>
      <c r="AB33" s="148" t="s">
        <v>1569</v>
      </c>
      <c r="AC33" s="153"/>
      <c r="AD33" s="166">
        <v>1</v>
      </c>
      <c r="AE33" s="176">
        <v>1</v>
      </c>
      <c r="AF33" s="172"/>
      <c r="AG33" s="173"/>
      <c r="AH33" s="173"/>
      <c r="AI33" s="173" t="str">
        <f>"    " &amp; TEXT(AE33,"#0.00%") &amp; " " &amp; "서버 설계" &amp; "(이태양)" &amp; " " &amp; IF(P33="","",TEXT(P33,"M/D-")) &amp; IF(Q33="","",TEXT(Q33,"M/D")) &amp; " "</f>
        <v xml:space="preserve">    100.00% 서버 설계(이태양) 9/14-9/28 </v>
      </c>
      <c r="AJ33" s="173"/>
      <c r="AK33" s="173"/>
      <c r="AL33" s="173"/>
      <c r="AM33" s="173"/>
      <c r="AN33" s="173"/>
      <c r="AO33" s="173"/>
      <c r="AP33" s="173"/>
      <c r="AQ33" s="173"/>
      <c r="AR33" s="173"/>
      <c r="AS33" s="173"/>
    </row>
    <row r="34" spans="1:45" ht="12" customHeight="1" outlineLevel="2">
      <c r="A34" s="147"/>
      <c r="B34" s="147"/>
      <c r="C34" s="147">
        <v>3</v>
      </c>
      <c r="D34" s="167" t="s">
        <v>1621</v>
      </c>
      <c r="E34" s="148"/>
      <c r="F34" s="148"/>
      <c r="G34" s="148" t="s">
        <v>1558</v>
      </c>
      <c r="H34" s="148"/>
      <c r="I34" s="148"/>
      <c r="J34" s="148"/>
      <c r="K34" s="148"/>
      <c r="L34" s="148"/>
      <c r="M34" s="148"/>
      <c r="N34" s="220"/>
      <c r="O34" s="148"/>
      <c r="P34" s="149">
        <v>44818</v>
      </c>
      <c r="Q34" s="149">
        <v>44825</v>
      </c>
      <c r="R34" s="148"/>
      <c r="S34" s="150">
        <v>6</v>
      </c>
      <c r="T34" s="150">
        <v>6</v>
      </c>
      <c r="U34" s="150">
        <v>6</v>
      </c>
      <c r="V34" s="150">
        <v>6</v>
      </c>
      <c r="W34" s="149"/>
      <c r="X34" s="149"/>
      <c r="Y34" s="151"/>
      <c r="Z34" s="152">
        <v>0</v>
      </c>
      <c r="AA34" s="150"/>
      <c r="AB34" s="148" t="s">
        <v>1568</v>
      </c>
      <c r="AC34" s="153"/>
      <c r="AD34" s="166">
        <v>1</v>
      </c>
      <c r="AE34" s="176">
        <v>1</v>
      </c>
      <c r="AF34" s="172"/>
      <c r="AG34" s="173"/>
      <c r="AH34" s="173" t="str">
        <f>"    " &amp; TEXT(AE34,"#0.00%") &amp; " " &amp; "네트워크 설계" &amp; "(이무현)" &amp; " " &amp; IF(P34="","",TEXT(P34,"M/D-")) &amp; IF(Q34="","",TEXT(Q34,"M/D")) &amp; " "</f>
        <v xml:space="preserve">    100.00% 네트워크 설계(이무현) 9/14-9/21 </v>
      </c>
      <c r="AI34" s="173"/>
      <c r="AJ34" s="173"/>
      <c r="AK34" s="173"/>
      <c r="AL34" s="173"/>
      <c r="AM34" s="173"/>
      <c r="AN34" s="173"/>
      <c r="AO34" s="173"/>
      <c r="AP34" s="173"/>
      <c r="AQ34" s="173"/>
      <c r="AR34" s="173"/>
      <c r="AS34" s="173"/>
    </row>
    <row r="35" spans="1:45" ht="12" customHeight="1" outlineLevel="1">
      <c r="A35" s="147"/>
      <c r="B35" s="147" t="s">
        <v>1353</v>
      </c>
      <c r="C35" s="147">
        <v>2</v>
      </c>
      <c r="D35" s="167" t="s">
        <v>1622</v>
      </c>
      <c r="E35" s="148"/>
      <c r="F35" s="148" t="s">
        <v>1595</v>
      </c>
      <c r="G35" s="148"/>
      <c r="H35" s="148"/>
      <c r="I35" s="148"/>
      <c r="J35" s="148"/>
      <c r="K35" s="148"/>
      <c r="L35" s="148"/>
      <c r="M35" s="148"/>
      <c r="N35" s="220"/>
      <c r="O35" s="148"/>
      <c r="P35" s="149">
        <v>44825</v>
      </c>
      <c r="Q35" s="149">
        <v>44839</v>
      </c>
      <c r="R35" s="148"/>
      <c r="S35" s="150">
        <v>334</v>
      </c>
      <c r="T35" s="150">
        <v>334</v>
      </c>
      <c r="U35" s="150">
        <v>10</v>
      </c>
      <c r="V35" s="150">
        <v>10</v>
      </c>
      <c r="W35" s="149"/>
      <c r="X35" s="149"/>
      <c r="Y35" s="151">
        <v>0</v>
      </c>
      <c r="Z35" s="152">
        <v>0</v>
      </c>
      <c r="AA35" s="150"/>
      <c r="AB35" s="148"/>
      <c r="AC35" s="153"/>
      <c r="AD35" s="166">
        <v>1</v>
      </c>
      <c r="AE35" s="211">
        <v>1</v>
      </c>
      <c r="AF35" s="172"/>
      <c r="AG35" s="173"/>
      <c r="AH35" s="173"/>
      <c r="AI35" s="173"/>
      <c r="AJ35" s="173" t="str">
        <f>"    " &amp; TEXT(AE35,"#0.00%") &amp; " " &amp; "개발시나리오" &amp; " " &amp; IF(P35="","",TEXT(P35,"M/D-")) &amp; IF(Q35="","",TEXT(Q35,"M/D")) &amp; " "</f>
        <v xml:space="preserve">    100.00% 개발시나리오 9/21-10/5 </v>
      </c>
      <c r="AK35" s="173"/>
      <c r="AL35" s="173"/>
      <c r="AM35" s="173"/>
      <c r="AN35" s="173"/>
      <c r="AO35" s="173"/>
      <c r="AP35" s="173"/>
      <c r="AQ35" s="173"/>
      <c r="AR35" s="173"/>
      <c r="AS35" s="173"/>
    </row>
    <row r="36" spans="1:45" ht="12" customHeight="1" outlineLevel="2">
      <c r="A36" s="147"/>
      <c r="B36" s="147" t="s">
        <v>1353</v>
      </c>
      <c r="C36" s="147">
        <v>3</v>
      </c>
      <c r="D36" s="167" t="s">
        <v>1623</v>
      </c>
      <c r="E36" s="148"/>
      <c r="F36" s="148"/>
      <c r="G36" s="148" t="s">
        <v>1550</v>
      </c>
      <c r="H36" s="148"/>
      <c r="I36" s="148"/>
      <c r="J36" s="148"/>
      <c r="K36" s="148"/>
      <c r="L36" s="148"/>
      <c r="M36" s="148"/>
      <c r="N36" s="220"/>
      <c r="O36" s="148"/>
      <c r="P36" s="149">
        <v>44825</v>
      </c>
      <c r="Q36" s="149">
        <v>44839</v>
      </c>
      <c r="R36" s="148"/>
      <c r="S36" s="150">
        <v>30</v>
      </c>
      <c r="T36" s="150">
        <v>30</v>
      </c>
      <c r="U36" s="150">
        <v>10</v>
      </c>
      <c r="V36" s="150">
        <v>10</v>
      </c>
      <c r="W36" s="149"/>
      <c r="X36" s="149"/>
      <c r="Y36" s="151">
        <v>0</v>
      </c>
      <c r="Z36" s="152">
        <v>0</v>
      </c>
      <c r="AA36" s="150"/>
      <c r="AB36" s="148"/>
      <c r="AC36" s="153"/>
      <c r="AD36" s="166">
        <v>1</v>
      </c>
      <c r="AE36" s="211">
        <v>1</v>
      </c>
      <c r="AF36" s="172"/>
      <c r="AG36" s="173"/>
      <c r="AH36" s="173"/>
      <c r="AI36" s="173"/>
      <c r="AJ36" s="173" t="str">
        <f>"    " &amp; TEXT(AE36,"#0.00%") &amp; " " &amp; "네트워크" &amp; " " &amp; IF(P36="","",TEXT(P36,"M/D-")) &amp; IF(Q36="","",TEXT(Q36,"M/D")) &amp; " "</f>
        <v xml:space="preserve">    100.00% 네트워크 9/21-10/5 </v>
      </c>
      <c r="AK36" s="173"/>
      <c r="AL36" s="173"/>
      <c r="AM36" s="173"/>
      <c r="AN36" s="173"/>
      <c r="AO36" s="173"/>
      <c r="AP36" s="173"/>
      <c r="AQ36" s="173"/>
      <c r="AR36" s="173"/>
      <c r="AS36" s="173"/>
    </row>
    <row r="37" spans="1:45" ht="12" customHeight="1" outlineLevel="3">
      <c r="A37" s="147"/>
      <c r="B37" s="147"/>
      <c r="C37" s="147">
        <v>4</v>
      </c>
      <c r="D37" s="167" t="s">
        <v>1624</v>
      </c>
      <c r="E37" s="148"/>
      <c r="F37" s="148"/>
      <c r="G37" s="148"/>
      <c r="H37" s="148" t="s">
        <v>1598</v>
      </c>
      <c r="I37" s="148"/>
      <c r="J37" s="148"/>
      <c r="K37" s="148"/>
      <c r="L37" s="148"/>
      <c r="M37" s="148"/>
      <c r="N37" s="220"/>
      <c r="O37" s="148"/>
      <c r="P37" s="149">
        <v>44825</v>
      </c>
      <c r="Q37" s="149">
        <v>44839</v>
      </c>
      <c r="R37" s="148"/>
      <c r="S37" s="150">
        <v>10</v>
      </c>
      <c r="T37" s="150">
        <v>10</v>
      </c>
      <c r="U37" s="150">
        <v>10</v>
      </c>
      <c r="V37" s="150">
        <v>10</v>
      </c>
      <c r="W37" s="149"/>
      <c r="X37" s="149"/>
      <c r="Y37" s="151"/>
      <c r="Z37" s="152">
        <v>0</v>
      </c>
      <c r="AA37" s="150"/>
      <c r="AB37" s="148" t="s">
        <v>1568</v>
      </c>
      <c r="AC37" s="153" t="s">
        <v>1751</v>
      </c>
      <c r="AD37" s="166">
        <v>1</v>
      </c>
      <c r="AE37" s="176">
        <v>1</v>
      </c>
      <c r="AF37" s="172"/>
      <c r="AG37" s="173"/>
      <c r="AH37" s="173"/>
      <c r="AI37" s="173"/>
      <c r="AJ37" s="173" t="str">
        <f>"    " &amp; TEXT(AE37,"#0.00%") &amp; " " &amp; "채팅" &amp; "(이무현)" &amp; " " &amp; IF(P37="","",TEXT(P37,"M/D-")) &amp; IF(Q37="","",TEXT(Q37,"M/D")) &amp; " "</f>
        <v xml:space="preserve">    100.00% 채팅(이무현) 9/21-10/5 </v>
      </c>
      <c r="AK37" s="173"/>
      <c r="AL37" s="173"/>
      <c r="AM37" s="173"/>
      <c r="AN37" s="173"/>
      <c r="AO37" s="173"/>
      <c r="AP37" s="173"/>
      <c r="AQ37" s="173"/>
      <c r="AR37" s="173"/>
      <c r="AS37" s="173"/>
    </row>
    <row r="38" spans="1:45" ht="12" customHeight="1" outlineLevel="3">
      <c r="A38" s="147"/>
      <c r="B38" s="147"/>
      <c r="C38" s="147">
        <v>4</v>
      </c>
      <c r="D38" s="167" t="s">
        <v>1625</v>
      </c>
      <c r="E38" s="148"/>
      <c r="F38" s="148"/>
      <c r="G38" s="148"/>
      <c r="H38" s="148" t="s">
        <v>1601</v>
      </c>
      <c r="I38" s="148"/>
      <c r="J38" s="148"/>
      <c r="K38" s="148"/>
      <c r="L38" s="148"/>
      <c r="M38" s="148"/>
      <c r="N38" s="220"/>
      <c r="O38" s="148"/>
      <c r="P38" s="149">
        <v>44825</v>
      </c>
      <c r="Q38" s="149">
        <v>44839</v>
      </c>
      <c r="R38" s="148"/>
      <c r="S38" s="150">
        <v>10</v>
      </c>
      <c r="T38" s="150">
        <v>10</v>
      </c>
      <c r="U38" s="150">
        <v>10</v>
      </c>
      <c r="V38" s="150">
        <v>10</v>
      </c>
      <c r="W38" s="149"/>
      <c r="X38" s="149"/>
      <c r="Y38" s="151"/>
      <c r="Z38" s="152">
        <v>0</v>
      </c>
      <c r="AA38" s="150"/>
      <c r="AB38" s="148" t="s">
        <v>1568</v>
      </c>
      <c r="AC38" s="153" t="s">
        <v>1751</v>
      </c>
      <c r="AD38" s="166">
        <v>1</v>
      </c>
      <c r="AE38" s="176">
        <v>1</v>
      </c>
      <c r="AF38" s="172"/>
      <c r="AG38" s="173"/>
      <c r="AH38" s="173"/>
      <c r="AI38" s="173"/>
      <c r="AJ38" s="173" t="str">
        <f>"    " &amp; TEXT(AE38,"#0.00%") &amp; " " &amp; "질문" &amp; "(이무현)" &amp; " " &amp; IF(P38="","",TEXT(P38,"M/D-")) &amp; IF(Q38="","",TEXT(Q38,"M/D")) &amp; " "</f>
        <v xml:space="preserve">    100.00% 질문(이무현) 9/21-10/5 </v>
      </c>
      <c r="AK38" s="173"/>
      <c r="AL38" s="173"/>
      <c r="AM38" s="173"/>
      <c r="AN38" s="173"/>
      <c r="AO38" s="173"/>
      <c r="AP38" s="173"/>
      <c r="AQ38" s="173"/>
      <c r="AR38" s="173"/>
      <c r="AS38" s="173"/>
    </row>
    <row r="39" spans="1:45" ht="12" customHeight="1" outlineLevel="3">
      <c r="A39" s="147"/>
      <c r="B39" s="147"/>
      <c r="C39" s="147">
        <v>4</v>
      </c>
      <c r="D39" s="167" t="s">
        <v>1626</v>
      </c>
      <c r="E39" s="148"/>
      <c r="F39" s="148"/>
      <c r="G39" s="148"/>
      <c r="H39" s="148" t="s">
        <v>1607</v>
      </c>
      <c r="I39" s="148"/>
      <c r="J39" s="148"/>
      <c r="K39" s="148"/>
      <c r="L39" s="148"/>
      <c r="M39" s="148"/>
      <c r="N39" s="220"/>
      <c r="O39" s="148"/>
      <c r="P39" s="149">
        <v>44825</v>
      </c>
      <c r="Q39" s="149">
        <v>44839</v>
      </c>
      <c r="R39" s="148"/>
      <c r="S39" s="150">
        <v>10</v>
      </c>
      <c r="T39" s="150">
        <v>10</v>
      </c>
      <c r="U39" s="150">
        <v>10</v>
      </c>
      <c r="V39" s="150">
        <v>10</v>
      </c>
      <c r="W39" s="149"/>
      <c r="X39" s="149"/>
      <c r="Y39" s="151"/>
      <c r="Z39" s="152">
        <v>0</v>
      </c>
      <c r="AA39" s="150"/>
      <c r="AB39" s="148" t="s">
        <v>1568</v>
      </c>
      <c r="AC39" s="153" t="s">
        <v>1751</v>
      </c>
      <c r="AD39" s="166">
        <v>1</v>
      </c>
      <c r="AE39" s="176">
        <v>1</v>
      </c>
      <c r="AF39" s="172"/>
      <c r="AG39" s="173"/>
      <c r="AH39" s="173"/>
      <c r="AI39" s="173"/>
      <c r="AJ39" s="173" t="str">
        <f>"    " &amp; TEXT(AE39,"#0.00%") &amp; " " &amp; "화면 송수신" &amp; "(이무현)" &amp; " " &amp; IF(P39="","",TEXT(P39,"M/D-")) &amp; IF(Q39="","",TEXT(Q39,"M/D")) &amp; " "</f>
        <v xml:space="preserve">    100.00% 화면 송수신(이무현) 9/21-10/5 </v>
      </c>
      <c r="AK39" s="173"/>
      <c r="AL39" s="173"/>
      <c r="AM39" s="173"/>
      <c r="AN39" s="173"/>
      <c r="AO39" s="173"/>
      <c r="AP39" s="173"/>
      <c r="AQ39" s="173"/>
      <c r="AR39" s="173"/>
      <c r="AS39" s="173"/>
    </row>
    <row r="40" spans="1:45" ht="12" customHeight="1" outlineLevel="2">
      <c r="A40" s="147"/>
      <c r="B40" s="147" t="s">
        <v>1353</v>
      </c>
      <c r="C40" s="147">
        <v>3</v>
      </c>
      <c r="D40" s="167" t="s">
        <v>1627</v>
      </c>
      <c r="E40" s="148"/>
      <c r="F40" s="148"/>
      <c r="G40" s="148" t="s">
        <v>1552</v>
      </c>
      <c r="H40" s="148"/>
      <c r="I40" s="148"/>
      <c r="J40" s="148"/>
      <c r="K40" s="148"/>
      <c r="L40" s="148"/>
      <c r="M40" s="148"/>
      <c r="N40" s="220"/>
      <c r="O40" s="148"/>
      <c r="P40" s="149">
        <v>44825</v>
      </c>
      <c r="Q40" s="149">
        <v>44839</v>
      </c>
      <c r="R40" s="148"/>
      <c r="S40" s="150">
        <v>220</v>
      </c>
      <c r="T40" s="150">
        <v>220</v>
      </c>
      <c r="U40" s="150">
        <v>10</v>
      </c>
      <c r="V40" s="150">
        <v>10</v>
      </c>
      <c r="W40" s="149"/>
      <c r="X40" s="149"/>
      <c r="Y40" s="151">
        <v>0</v>
      </c>
      <c r="Z40" s="152">
        <v>0</v>
      </c>
      <c r="AA40" s="150"/>
      <c r="AB40" s="148"/>
      <c r="AC40" s="153"/>
      <c r="AD40" s="166">
        <v>1</v>
      </c>
      <c r="AE40" s="211">
        <v>1</v>
      </c>
      <c r="AF40" s="172"/>
      <c r="AG40" s="173"/>
      <c r="AH40" s="173"/>
      <c r="AI40" s="173"/>
      <c r="AJ40" s="173" t="str">
        <f>"    " &amp; TEXT(AE40,"#0.00%") &amp; " " &amp; "클라이언트" &amp; " " &amp; IF(P40="","",TEXT(P40,"M/D-")) &amp; IF(Q40="","",TEXT(Q40,"M/D")) &amp; " "</f>
        <v xml:space="preserve">    100.00% 클라이언트 9/21-10/5 </v>
      </c>
      <c r="AK40" s="173"/>
      <c r="AL40" s="173"/>
      <c r="AM40" s="173"/>
      <c r="AN40" s="173"/>
      <c r="AO40" s="173"/>
      <c r="AP40" s="173"/>
      <c r="AQ40" s="173"/>
      <c r="AR40" s="173"/>
      <c r="AS40" s="173"/>
    </row>
    <row r="41" spans="1:45" ht="12" customHeight="1" outlineLevel="3">
      <c r="A41" s="147"/>
      <c r="B41" s="147" t="s">
        <v>1353</v>
      </c>
      <c r="C41" s="147">
        <v>4</v>
      </c>
      <c r="D41" s="167" t="s">
        <v>1628</v>
      </c>
      <c r="E41" s="148"/>
      <c r="F41" s="148"/>
      <c r="G41" s="148"/>
      <c r="H41" s="148" t="s">
        <v>1598</v>
      </c>
      <c r="I41" s="148"/>
      <c r="J41" s="148"/>
      <c r="K41" s="148"/>
      <c r="L41" s="148"/>
      <c r="M41" s="148"/>
      <c r="N41" s="220"/>
      <c r="O41" s="148"/>
      <c r="P41" s="149">
        <v>44825</v>
      </c>
      <c r="Q41" s="149">
        <v>44839</v>
      </c>
      <c r="R41" s="148"/>
      <c r="S41" s="150">
        <v>20</v>
      </c>
      <c r="T41" s="150">
        <v>20</v>
      </c>
      <c r="U41" s="150">
        <v>10</v>
      </c>
      <c r="V41" s="150">
        <v>10</v>
      </c>
      <c r="W41" s="149"/>
      <c r="X41" s="149"/>
      <c r="Y41" s="151">
        <v>0</v>
      </c>
      <c r="Z41" s="152">
        <v>0</v>
      </c>
      <c r="AA41" s="150"/>
      <c r="AB41" s="148"/>
      <c r="AC41" s="153"/>
      <c r="AD41" s="166">
        <v>1</v>
      </c>
      <c r="AE41" s="211">
        <v>1</v>
      </c>
      <c r="AF41" s="172"/>
      <c r="AG41" s="173"/>
      <c r="AH41" s="173"/>
      <c r="AI41" s="173"/>
      <c r="AJ41" s="173" t="str">
        <f>"    " &amp; TEXT(AE41,"#0.00%") &amp; " " &amp; "채팅" &amp; " " &amp; IF(P41="","",TEXT(P41,"M/D-")) &amp; IF(Q41="","",TEXT(Q41,"M/D")) &amp; " "</f>
        <v xml:space="preserve">    100.00% 채팅 9/21-10/5 </v>
      </c>
      <c r="AK41" s="173"/>
      <c r="AL41" s="173"/>
      <c r="AM41" s="173"/>
      <c r="AN41" s="173"/>
      <c r="AO41" s="173"/>
      <c r="AP41" s="173"/>
      <c r="AQ41" s="173"/>
      <c r="AR41" s="173"/>
      <c r="AS41" s="173"/>
    </row>
    <row r="42" spans="1:45" ht="12" customHeight="1" outlineLevel="4">
      <c r="A42" s="147"/>
      <c r="B42" s="147"/>
      <c r="C42" s="147">
        <v>5</v>
      </c>
      <c r="D42" s="167" t="s">
        <v>1629</v>
      </c>
      <c r="E42" s="148"/>
      <c r="F42" s="148"/>
      <c r="G42" s="148"/>
      <c r="H42" s="148"/>
      <c r="I42" s="148" t="s">
        <v>1599</v>
      </c>
      <c r="J42" s="148"/>
      <c r="K42" s="148"/>
      <c r="L42" s="148"/>
      <c r="M42" s="148"/>
      <c r="N42" s="220"/>
      <c r="O42" s="148"/>
      <c r="P42" s="149">
        <v>44825</v>
      </c>
      <c r="Q42" s="149">
        <v>44839</v>
      </c>
      <c r="R42" s="148"/>
      <c r="S42" s="150">
        <v>10</v>
      </c>
      <c r="T42" s="150">
        <v>10</v>
      </c>
      <c r="U42" s="150">
        <v>10</v>
      </c>
      <c r="V42" s="150">
        <v>10</v>
      </c>
      <c r="W42" s="149"/>
      <c r="X42" s="149"/>
      <c r="Y42" s="151"/>
      <c r="Z42" s="152">
        <v>0</v>
      </c>
      <c r="AA42" s="150"/>
      <c r="AB42" s="148" t="s">
        <v>1733</v>
      </c>
      <c r="AC42" s="153" t="s">
        <v>1848</v>
      </c>
      <c r="AD42" s="166">
        <v>1</v>
      </c>
      <c r="AE42" s="176">
        <v>1</v>
      </c>
      <c r="AF42" s="172"/>
      <c r="AG42" s="173"/>
      <c r="AH42" s="173"/>
      <c r="AI42" s="173"/>
      <c r="AJ42" s="173" t="str">
        <f>"    " &amp; TEXT(AE42,"#0.00%") &amp; " " &amp; "전체" &amp; "(이종수[50%],유영주[50%])" &amp; " " &amp; IF(P42="","",TEXT(P42,"M/D-")) &amp; IF(Q42="","",TEXT(Q42,"M/D")) &amp; " "</f>
        <v xml:space="preserve">    100.00% 전체(이종수[50%],유영주[50%]) 9/21-10/5 </v>
      </c>
      <c r="AK42" s="173"/>
      <c r="AL42" s="173"/>
      <c r="AM42" s="173"/>
      <c r="AN42" s="173"/>
      <c r="AO42" s="173"/>
      <c r="AP42" s="173"/>
      <c r="AQ42" s="173"/>
      <c r="AR42" s="173"/>
      <c r="AS42" s="173"/>
    </row>
    <row r="43" spans="1:45" ht="12" customHeight="1" outlineLevel="4">
      <c r="A43" s="147"/>
      <c r="B43" s="147"/>
      <c r="C43" s="147">
        <v>5</v>
      </c>
      <c r="D43" s="167" t="s">
        <v>1630</v>
      </c>
      <c r="E43" s="148"/>
      <c r="F43" s="148"/>
      <c r="G43" s="148"/>
      <c r="H43" s="148"/>
      <c r="I43" s="148" t="s">
        <v>1600</v>
      </c>
      <c r="J43" s="148"/>
      <c r="K43" s="148"/>
      <c r="L43" s="148"/>
      <c r="M43" s="148"/>
      <c r="N43" s="220"/>
      <c r="O43" s="148"/>
      <c r="P43" s="149">
        <v>44825</v>
      </c>
      <c r="Q43" s="149">
        <v>44839</v>
      </c>
      <c r="R43" s="148"/>
      <c r="S43" s="150">
        <v>10</v>
      </c>
      <c r="T43" s="150">
        <v>10</v>
      </c>
      <c r="U43" s="150">
        <v>10</v>
      </c>
      <c r="V43" s="150">
        <v>10</v>
      </c>
      <c r="W43" s="149"/>
      <c r="X43" s="149"/>
      <c r="Y43" s="151"/>
      <c r="Z43" s="152">
        <v>0</v>
      </c>
      <c r="AA43" s="150"/>
      <c r="AB43" s="148" t="s">
        <v>1733</v>
      </c>
      <c r="AC43" s="153" t="s">
        <v>1848</v>
      </c>
      <c r="AD43" s="166">
        <v>1</v>
      </c>
      <c r="AE43" s="176">
        <v>1</v>
      </c>
      <c r="AF43" s="172"/>
      <c r="AG43" s="173"/>
      <c r="AH43" s="173"/>
      <c r="AI43" s="173"/>
      <c r="AJ43" s="173" t="str">
        <f>"    " &amp; TEXT(AE43,"#0.00%") &amp; " " &amp; "귓속말" &amp; "(이종수[50%],유영주[50%])" &amp; " " &amp; IF(P43="","",TEXT(P43,"M/D-")) &amp; IF(Q43="","",TEXT(Q43,"M/D")) &amp; " "</f>
        <v xml:space="preserve">    100.00% 귓속말(이종수[50%],유영주[50%]) 9/21-10/5 </v>
      </c>
      <c r="AK43" s="173"/>
      <c r="AL43" s="173"/>
      <c r="AM43" s="173"/>
      <c r="AN43" s="173"/>
      <c r="AO43" s="173"/>
      <c r="AP43" s="173"/>
      <c r="AQ43" s="173"/>
      <c r="AR43" s="173"/>
      <c r="AS43" s="173"/>
    </row>
    <row r="44" spans="1:45" ht="12" customHeight="1" outlineLevel="3">
      <c r="A44" s="147"/>
      <c r="B44" s="147" t="s">
        <v>1353</v>
      </c>
      <c r="C44" s="147">
        <v>4</v>
      </c>
      <c r="D44" s="167" t="s">
        <v>1631</v>
      </c>
      <c r="E44" s="148"/>
      <c r="F44" s="148"/>
      <c r="G44" s="148"/>
      <c r="H44" s="148" t="s">
        <v>1601</v>
      </c>
      <c r="I44" s="148"/>
      <c r="J44" s="148"/>
      <c r="K44" s="148"/>
      <c r="L44" s="148"/>
      <c r="M44" s="148"/>
      <c r="N44" s="220"/>
      <c r="O44" s="148"/>
      <c r="P44" s="149">
        <v>44825</v>
      </c>
      <c r="Q44" s="149">
        <v>44839</v>
      </c>
      <c r="R44" s="148"/>
      <c r="S44" s="150">
        <v>80</v>
      </c>
      <c r="T44" s="150">
        <v>80</v>
      </c>
      <c r="U44" s="150">
        <v>10</v>
      </c>
      <c r="V44" s="150">
        <v>10</v>
      </c>
      <c r="W44" s="149"/>
      <c r="X44" s="149"/>
      <c r="Y44" s="151">
        <v>0</v>
      </c>
      <c r="Z44" s="152">
        <v>0</v>
      </c>
      <c r="AA44" s="150"/>
      <c r="AB44" s="148"/>
      <c r="AC44" s="153"/>
      <c r="AD44" s="166">
        <v>1</v>
      </c>
      <c r="AE44" s="211">
        <v>1</v>
      </c>
      <c r="AF44" s="172"/>
      <c r="AG44" s="173"/>
      <c r="AH44" s="173"/>
      <c r="AI44" s="173"/>
      <c r="AJ44" s="173" t="str">
        <f>"    " &amp; TEXT(AE44,"#0.00%") &amp; " " &amp; "질문" &amp; " " &amp; IF(P44="","",TEXT(P44,"M/D-")) &amp; IF(Q44="","",TEXT(Q44,"M/D")) &amp; " "</f>
        <v xml:space="preserve">    100.00% 질문 9/21-10/5 </v>
      </c>
      <c r="AK44" s="173"/>
      <c r="AL44" s="173"/>
      <c r="AM44" s="173"/>
      <c r="AN44" s="173"/>
      <c r="AO44" s="173"/>
      <c r="AP44" s="173"/>
      <c r="AQ44" s="173"/>
      <c r="AR44" s="173"/>
      <c r="AS44" s="173"/>
    </row>
    <row r="45" spans="1:45" ht="12" customHeight="1" outlineLevel="4">
      <c r="A45" s="147"/>
      <c r="B45" s="147" t="s">
        <v>1353</v>
      </c>
      <c r="C45" s="147">
        <v>5</v>
      </c>
      <c r="D45" s="167" t="s">
        <v>1632</v>
      </c>
      <c r="E45" s="148"/>
      <c r="F45" s="148"/>
      <c r="G45" s="148"/>
      <c r="H45" s="148"/>
      <c r="I45" s="148" t="s">
        <v>1789</v>
      </c>
      <c r="J45" s="148"/>
      <c r="K45" s="148"/>
      <c r="L45" s="148"/>
      <c r="M45" s="148"/>
      <c r="N45" s="220"/>
      <c r="O45" s="148"/>
      <c r="P45" s="149">
        <v>44825</v>
      </c>
      <c r="Q45" s="149">
        <v>44839</v>
      </c>
      <c r="R45" s="148"/>
      <c r="S45" s="150">
        <v>30</v>
      </c>
      <c r="T45" s="150">
        <v>30</v>
      </c>
      <c r="U45" s="150">
        <v>10</v>
      </c>
      <c r="V45" s="150">
        <v>10</v>
      </c>
      <c r="W45" s="149"/>
      <c r="X45" s="149"/>
      <c r="Y45" s="151">
        <v>0</v>
      </c>
      <c r="Z45" s="152">
        <v>0</v>
      </c>
      <c r="AA45" s="150"/>
      <c r="AB45" s="148" t="s">
        <v>1733</v>
      </c>
      <c r="AC45" s="153"/>
      <c r="AD45" s="166">
        <v>1</v>
      </c>
      <c r="AE45" s="211">
        <v>1</v>
      </c>
      <c r="AF45" s="172"/>
      <c r="AG45" s="173"/>
      <c r="AH45" s="173"/>
      <c r="AI45" s="173"/>
      <c r="AJ45" s="173" t="str">
        <f>"    " &amp; TEXT(AE45,"#0.00%") &amp; " " &amp; "기본형" &amp; "(이종수[50%],유영주[50%])" &amp; " " &amp; IF(P45="","",TEXT(P45,"M/D-")) &amp; IF(Q45="","",TEXT(Q45,"M/D")) &amp; " "</f>
        <v xml:space="preserve">    100.00% 기본형(이종수[50%],유영주[50%]) 9/21-10/5 </v>
      </c>
      <c r="AK45" s="173"/>
      <c r="AL45" s="173"/>
      <c r="AM45" s="173"/>
      <c r="AN45" s="173"/>
      <c r="AO45" s="173"/>
      <c r="AP45" s="173"/>
      <c r="AQ45" s="173"/>
      <c r="AR45" s="173"/>
      <c r="AS45" s="173"/>
    </row>
    <row r="46" spans="1:45" ht="12" customHeight="1" outlineLevel="5">
      <c r="A46" s="147"/>
      <c r="B46" s="147"/>
      <c r="C46" s="147">
        <v>6</v>
      </c>
      <c r="D46" s="167" t="s">
        <v>1792</v>
      </c>
      <c r="E46" s="148"/>
      <c r="F46" s="148"/>
      <c r="G46" s="148"/>
      <c r="H46" s="148"/>
      <c r="I46" s="148"/>
      <c r="J46" s="148" t="s">
        <v>1758</v>
      </c>
      <c r="K46" s="148"/>
      <c r="L46" s="148"/>
      <c r="M46" s="148"/>
      <c r="N46" s="220"/>
      <c r="O46" s="148"/>
      <c r="P46" s="149">
        <v>44825</v>
      </c>
      <c r="Q46" s="149">
        <v>44839</v>
      </c>
      <c r="R46" s="148"/>
      <c r="S46" s="150">
        <v>10</v>
      </c>
      <c r="T46" s="150">
        <v>10</v>
      </c>
      <c r="U46" s="150">
        <v>10</v>
      </c>
      <c r="V46" s="150">
        <v>10</v>
      </c>
      <c r="W46" s="149"/>
      <c r="X46" s="149"/>
      <c r="Y46" s="151"/>
      <c r="Z46" s="152">
        <v>0</v>
      </c>
      <c r="AA46" s="150"/>
      <c r="AB46" s="148" t="s">
        <v>1733</v>
      </c>
      <c r="AC46" s="153" t="s">
        <v>1848</v>
      </c>
      <c r="AD46" s="166">
        <v>1</v>
      </c>
      <c r="AE46" s="176">
        <v>1</v>
      </c>
      <c r="AF46" s="172"/>
      <c r="AG46" s="173"/>
      <c r="AH46" s="173"/>
      <c r="AI46" s="173"/>
      <c r="AJ46" s="173" t="str">
        <f>"    " &amp; TEXT(AE46,"#0.00%") &amp; " " &amp; "O/X" &amp; "(이종수[50%],유영주[50%])" &amp; " " &amp; IF(P46="","",TEXT(P46,"M/D-")) &amp; IF(Q46="","",TEXT(Q46,"M/D")) &amp; " "</f>
        <v xml:space="preserve">    100.00% O/X(이종수[50%],유영주[50%]) 9/21-10/5 </v>
      </c>
      <c r="AK46" s="173"/>
      <c r="AL46" s="173"/>
      <c r="AM46" s="173"/>
      <c r="AN46" s="173"/>
      <c r="AO46" s="173"/>
      <c r="AP46" s="173"/>
      <c r="AQ46" s="173"/>
      <c r="AR46" s="173"/>
      <c r="AS46" s="173"/>
    </row>
    <row r="47" spans="1:45" ht="12" customHeight="1" outlineLevel="5">
      <c r="A47" s="147"/>
      <c r="B47" s="147"/>
      <c r="C47" s="147">
        <v>6</v>
      </c>
      <c r="D47" s="167" t="s">
        <v>1793</v>
      </c>
      <c r="E47" s="148"/>
      <c r="F47" s="148"/>
      <c r="G47" s="148"/>
      <c r="H47" s="148"/>
      <c r="I47" s="148"/>
      <c r="J47" s="148" t="s">
        <v>1602</v>
      </c>
      <c r="K47" s="148"/>
      <c r="L47" s="148"/>
      <c r="M47" s="148"/>
      <c r="N47" s="220"/>
      <c r="O47" s="148"/>
      <c r="P47" s="149">
        <v>44825</v>
      </c>
      <c r="Q47" s="149">
        <v>44839</v>
      </c>
      <c r="R47" s="148"/>
      <c r="S47" s="150">
        <v>10</v>
      </c>
      <c r="T47" s="150">
        <v>10</v>
      </c>
      <c r="U47" s="150">
        <v>10</v>
      </c>
      <c r="V47" s="150">
        <v>10</v>
      </c>
      <c r="W47" s="149"/>
      <c r="X47" s="149"/>
      <c r="Y47" s="151"/>
      <c r="Z47" s="152">
        <v>0</v>
      </c>
      <c r="AA47" s="150"/>
      <c r="AB47" s="148" t="s">
        <v>1733</v>
      </c>
      <c r="AC47" s="153" t="s">
        <v>1848</v>
      </c>
      <c r="AD47" s="166">
        <v>1</v>
      </c>
      <c r="AE47" s="176">
        <v>1</v>
      </c>
      <c r="AF47" s="172"/>
      <c r="AG47" s="173"/>
      <c r="AH47" s="173"/>
      <c r="AI47" s="173"/>
      <c r="AJ47" s="173" t="str">
        <f>"    " &amp; TEXT(AE47,"#0.00%") &amp; " " &amp; "객관식" &amp; "(이종수[50%],유영주[50%])" &amp; " " &amp; IF(P47="","",TEXT(P47,"M/D-")) &amp; IF(Q47="","",TEXT(Q47,"M/D")) &amp; " "</f>
        <v xml:space="preserve">    100.00% 객관식(이종수[50%],유영주[50%]) 9/21-10/5 </v>
      </c>
      <c r="AK47" s="173"/>
      <c r="AL47" s="173"/>
      <c r="AM47" s="173"/>
      <c r="AN47" s="173"/>
      <c r="AO47" s="173"/>
      <c r="AP47" s="173"/>
      <c r="AQ47" s="173"/>
      <c r="AR47" s="173"/>
      <c r="AS47" s="173"/>
    </row>
    <row r="48" spans="1:45" ht="12" customHeight="1" outlineLevel="5">
      <c r="A48" s="147"/>
      <c r="B48" s="147"/>
      <c r="C48" s="147">
        <v>6</v>
      </c>
      <c r="D48" s="167" t="s">
        <v>1794</v>
      </c>
      <c r="E48" s="148"/>
      <c r="F48" s="148"/>
      <c r="G48" s="148"/>
      <c r="H48" s="148"/>
      <c r="I48" s="148"/>
      <c r="J48" s="148" t="s">
        <v>1717</v>
      </c>
      <c r="K48" s="148"/>
      <c r="L48" s="148"/>
      <c r="M48" s="148"/>
      <c r="N48" s="220"/>
      <c r="O48" s="148"/>
      <c r="P48" s="149">
        <v>44825</v>
      </c>
      <c r="Q48" s="149">
        <v>44839</v>
      </c>
      <c r="R48" s="148"/>
      <c r="S48" s="150">
        <v>10</v>
      </c>
      <c r="T48" s="150">
        <v>10</v>
      </c>
      <c r="U48" s="150">
        <v>10</v>
      </c>
      <c r="V48" s="150">
        <v>10</v>
      </c>
      <c r="W48" s="149"/>
      <c r="X48" s="149"/>
      <c r="Y48" s="151"/>
      <c r="Z48" s="152">
        <v>0</v>
      </c>
      <c r="AA48" s="150"/>
      <c r="AB48" s="148" t="s">
        <v>1733</v>
      </c>
      <c r="AC48" s="153" t="s">
        <v>1848</v>
      </c>
      <c r="AD48" s="166">
        <v>1</v>
      </c>
      <c r="AE48" s="176">
        <v>1</v>
      </c>
      <c r="AF48" s="172"/>
      <c r="AG48" s="173"/>
      <c r="AH48" s="173"/>
      <c r="AI48" s="173"/>
      <c r="AJ48" s="173" t="str">
        <f>"    " &amp; TEXT(AE48,"#0.00%") &amp; " " &amp; "주관식" &amp; "(이종수[50%],유영주[50%])" &amp; " " &amp; IF(P48="","",TEXT(P48,"M/D-")) &amp; IF(Q48="","",TEXT(Q48,"M/D")) &amp; " "</f>
        <v xml:space="preserve">    100.00% 주관식(이종수[50%],유영주[50%]) 9/21-10/5 </v>
      </c>
      <c r="AK48" s="173"/>
      <c r="AL48" s="173"/>
      <c r="AM48" s="173"/>
      <c r="AN48" s="173"/>
      <c r="AO48" s="173"/>
      <c r="AP48" s="173"/>
      <c r="AQ48" s="173"/>
      <c r="AR48" s="173"/>
      <c r="AS48" s="173"/>
    </row>
    <row r="49" spans="1:45" ht="12" customHeight="1" outlineLevel="4">
      <c r="A49" s="147"/>
      <c r="B49" s="147" t="s">
        <v>1353</v>
      </c>
      <c r="C49" s="147">
        <v>5</v>
      </c>
      <c r="D49" s="167" t="s">
        <v>1633</v>
      </c>
      <c r="E49" s="148"/>
      <c r="F49" s="148"/>
      <c r="G49" s="148"/>
      <c r="H49" s="148"/>
      <c r="I49" s="148" t="s">
        <v>1716</v>
      </c>
      <c r="J49" s="148"/>
      <c r="K49" s="148"/>
      <c r="L49" s="148"/>
      <c r="M49" s="148"/>
      <c r="N49" s="220"/>
      <c r="O49" s="148"/>
      <c r="P49" s="149">
        <v>44825</v>
      </c>
      <c r="Q49" s="149">
        <v>44839</v>
      </c>
      <c r="R49" s="148"/>
      <c r="S49" s="150">
        <v>30</v>
      </c>
      <c r="T49" s="150">
        <v>30</v>
      </c>
      <c r="U49" s="150">
        <v>10</v>
      </c>
      <c r="V49" s="150">
        <v>10</v>
      </c>
      <c r="W49" s="149"/>
      <c r="X49" s="149"/>
      <c r="Y49" s="151">
        <v>0</v>
      </c>
      <c r="Z49" s="152">
        <v>0</v>
      </c>
      <c r="AA49" s="150"/>
      <c r="AB49" s="148"/>
      <c r="AC49" s="153"/>
      <c r="AD49" s="166">
        <v>1</v>
      </c>
      <c r="AE49" s="211">
        <v>1</v>
      </c>
      <c r="AF49" s="172"/>
      <c r="AG49" s="173"/>
      <c r="AH49" s="173"/>
      <c r="AI49" s="173"/>
      <c r="AJ49" s="173" t="str">
        <f>"    " &amp; TEXT(AE49,"#0.00%") &amp; " " &amp; "스피드 게임형" &amp; " " &amp; IF(P49="","",TEXT(P49,"M/D-")) &amp; IF(Q49="","",TEXT(Q49,"M/D")) &amp; " "</f>
        <v xml:space="preserve">    100.00% 스피드 게임형 9/21-10/5 </v>
      </c>
      <c r="AK49" s="173"/>
      <c r="AL49" s="173"/>
      <c r="AM49" s="173"/>
      <c r="AN49" s="173"/>
      <c r="AO49" s="173"/>
      <c r="AP49" s="173"/>
      <c r="AQ49" s="173"/>
      <c r="AR49" s="173"/>
      <c r="AS49" s="173"/>
    </row>
    <row r="50" spans="1:45" ht="12" customHeight="1" outlineLevel="5">
      <c r="A50" s="147"/>
      <c r="B50" s="147"/>
      <c r="C50" s="147">
        <v>6</v>
      </c>
      <c r="D50" s="167" t="s">
        <v>1795</v>
      </c>
      <c r="E50" s="148"/>
      <c r="F50" s="148"/>
      <c r="G50" s="148"/>
      <c r="H50" s="148"/>
      <c r="I50" s="148"/>
      <c r="J50" s="148" t="s">
        <v>1758</v>
      </c>
      <c r="K50" s="148"/>
      <c r="L50" s="148"/>
      <c r="M50" s="148"/>
      <c r="N50" s="220"/>
      <c r="O50" s="148"/>
      <c r="P50" s="149">
        <v>44825</v>
      </c>
      <c r="Q50" s="149">
        <v>44839</v>
      </c>
      <c r="R50" s="148"/>
      <c r="S50" s="150">
        <v>10</v>
      </c>
      <c r="T50" s="150">
        <v>10</v>
      </c>
      <c r="U50" s="150">
        <v>10</v>
      </c>
      <c r="V50" s="150">
        <v>10</v>
      </c>
      <c r="W50" s="149"/>
      <c r="X50" s="149"/>
      <c r="Y50" s="151"/>
      <c r="Z50" s="152">
        <v>0</v>
      </c>
      <c r="AA50" s="150"/>
      <c r="AB50" s="148" t="s">
        <v>1733</v>
      </c>
      <c r="AC50" s="153" t="s">
        <v>1848</v>
      </c>
      <c r="AD50" s="166">
        <v>1</v>
      </c>
      <c r="AE50" s="176">
        <v>1</v>
      </c>
      <c r="AF50" s="172"/>
      <c r="AG50" s="173"/>
      <c r="AH50" s="173"/>
      <c r="AI50" s="173"/>
      <c r="AJ50" s="173" t="str">
        <f>"    " &amp; TEXT(AE50,"#0.00%") &amp; " " &amp; "O/X" &amp; "(이종수[50%],유영주[50%])" &amp; " " &amp; IF(P50="","",TEXT(P50,"M/D-")) &amp; IF(Q50="","",TEXT(Q50,"M/D")) &amp; " "</f>
        <v xml:space="preserve">    100.00% O/X(이종수[50%],유영주[50%]) 9/21-10/5 </v>
      </c>
      <c r="AK50" s="173"/>
      <c r="AL50" s="173"/>
      <c r="AM50" s="173"/>
      <c r="AN50" s="173"/>
      <c r="AO50" s="173"/>
      <c r="AP50" s="173"/>
      <c r="AQ50" s="173"/>
      <c r="AR50" s="173"/>
      <c r="AS50" s="173"/>
    </row>
    <row r="51" spans="1:45" ht="12" customHeight="1" outlineLevel="5">
      <c r="A51" s="147"/>
      <c r="B51" s="147"/>
      <c r="C51" s="147">
        <v>6</v>
      </c>
      <c r="D51" s="167" t="s">
        <v>1796</v>
      </c>
      <c r="E51" s="148"/>
      <c r="F51" s="148"/>
      <c r="G51" s="148"/>
      <c r="H51" s="148"/>
      <c r="I51" s="148"/>
      <c r="J51" s="148" t="s">
        <v>1602</v>
      </c>
      <c r="K51" s="148"/>
      <c r="L51" s="148"/>
      <c r="M51" s="148"/>
      <c r="N51" s="220"/>
      <c r="O51" s="148"/>
      <c r="P51" s="149">
        <v>44825</v>
      </c>
      <c r="Q51" s="149">
        <v>44839</v>
      </c>
      <c r="R51" s="148"/>
      <c r="S51" s="150">
        <v>10</v>
      </c>
      <c r="T51" s="150">
        <v>10</v>
      </c>
      <c r="U51" s="150">
        <v>10</v>
      </c>
      <c r="V51" s="150">
        <v>10</v>
      </c>
      <c r="W51" s="149"/>
      <c r="X51" s="149"/>
      <c r="Y51" s="151"/>
      <c r="Z51" s="152">
        <v>0</v>
      </c>
      <c r="AA51" s="150"/>
      <c r="AB51" s="148" t="s">
        <v>1733</v>
      </c>
      <c r="AC51" s="153" t="s">
        <v>1848</v>
      </c>
      <c r="AD51" s="166">
        <v>1</v>
      </c>
      <c r="AE51" s="176">
        <v>1</v>
      </c>
      <c r="AF51" s="172"/>
      <c r="AG51" s="173"/>
      <c r="AH51" s="173"/>
      <c r="AI51" s="173"/>
      <c r="AJ51" s="173" t="str">
        <f>"    " &amp; TEXT(AE51,"#0.00%") &amp; " " &amp; "객관식" &amp; "(이종수[50%],유영주[50%])" &amp; " " &amp; IF(P51="","",TEXT(P51,"M/D-")) &amp; IF(Q51="","",TEXT(Q51,"M/D")) &amp; " "</f>
        <v xml:space="preserve">    100.00% 객관식(이종수[50%],유영주[50%]) 9/21-10/5 </v>
      </c>
      <c r="AK51" s="173"/>
      <c r="AL51" s="173"/>
      <c r="AM51" s="173"/>
      <c r="AN51" s="173"/>
      <c r="AO51" s="173"/>
      <c r="AP51" s="173"/>
      <c r="AQ51" s="173"/>
      <c r="AR51" s="173"/>
      <c r="AS51" s="173"/>
    </row>
    <row r="52" spans="1:45" ht="12" customHeight="1" outlineLevel="5">
      <c r="A52" s="147"/>
      <c r="B52" s="147"/>
      <c r="C52" s="147">
        <v>6</v>
      </c>
      <c r="D52" s="167" t="s">
        <v>1797</v>
      </c>
      <c r="E52" s="148"/>
      <c r="F52" s="148"/>
      <c r="G52" s="148"/>
      <c r="H52" s="148"/>
      <c r="I52" s="148"/>
      <c r="J52" s="148" t="s">
        <v>1717</v>
      </c>
      <c r="K52" s="148"/>
      <c r="L52" s="148"/>
      <c r="M52" s="148"/>
      <c r="N52" s="220"/>
      <c r="O52" s="148"/>
      <c r="P52" s="149">
        <v>44825</v>
      </c>
      <c r="Q52" s="149">
        <v>44839</v>
      </c>
      <c r="R52" s="148"/>
      <c r="S52" s="150">
        <v>10</v>
      </c>
      <c r="T52" s="150">
        <v>10</v>
      </c>
      <c r="U52" s="150">
        <v>10</v>
      </c>
      <c r="V52" s="150">
        <v>10</v>
      </c>
      <c r="W52" s="149"/>
      <c r="X52" s="149"/>
      <c r="Y52" s="151"/>
      <c r="Z52" s="152">
        <v>0</v>
      </c>
      <c r="AA52" s="150"/>
      <c r="AB52" s="148" t="s">
        <v>1733</v>
      </c>
      <c r="AC52" s="153" t="s">
        <v>1848</v>
      </c>
      <c r="AD52" s="166">
        <v>1</v>
      </c>
      <c r="AE52" s="176">
        <v>1</v>
      </c>
      <c r="AF52" s="172"/>
      <c r="AG52" s="173"/>
      <c r="AH52" s="173"/>
      <c r="AI52" s="173"/>
      <c r="AJ52" s="173" t="str">
        <f>"    " &amp; TEXT(AE52,"#0.00%") &amp; " " &amp; "주관식" &amp; "(이종수[50%],유영주[50%])" &amp; " " &amp; IF(P52="","",TEXT(P52,"M/D-")) &amp; IF(Q52="","",TEXT(Q52,"M/D")) &amp; " "</f>
        <v xml:space="preserve">    100.00% 주관식(이종수[50%],유영주[50%]) 9/21-10/5 </v>
      </c>
      <c r="AK52" s="173"/>
      <c r="AL52" s="173"/>
      <c r="AM52" s="173"/>
      <c r="AN52" s="173"/>
      <c r="AO52" s="173"/>
      <c r="AP52" s="173"/>
      <c r="AQ52" s="173"/>
      <c r="AR52" s="173"/>
      <c r="AS52" s="173"/>
    </row>
    <row r="53" spans="1:45" ht="12" customHeight="1" outlineLevel="4">
      <c r="A53" s="147"/>
      <c r="B53" s="147" t="s">
        <v>1353</v>
      </c>
      <c r="C53" s="147">
        <v>5</v>
      </c>
      <c r="D53" s="167" t="s">
        <v>1634</v>
      </c>
      <c r="E53" s="148"/>
      <c r="F53" s="148"/>
      <c r="G53" s="148"/>
      <c r="H53" s="148"/>
      <c r="I53" s="148" t="s">
        <v>1715</v>
      </c>
      <c r="J53" s="148"/>
      <c r="K53" s="148"/>
      <c r="L53" s="148"/>
      <c r="M53" s="148"/>
      <c r="N53" s="220"/>
      <c r="O53" s="148"/>
      <c r="P53" s="149">
        <v>44825</v>
      </c>
      <c r="Q53" s="149">
        <v>44839</v>
      </c>
      <c r="R53" s="148"/>
      <c r="S53" s="150">
        <v>20</v>
      </c>
      <c r="T53" s="150">
        <v>20</v>
      </c>
      <c r="U53" s="150">
        <v>10</v>
      </c>
      <c r="V53" s="150">
        <v>10</v>
      </c>
      <c r="W53" s="149"/>
      <c r="X53" s="149"/>
      <c r="Y53" s="151">
        <v>0</v>
      </c>
      <c r="Z53" s="152">
        <v>0</v>
      </c>
      <c r="AA53" s="150"/>
      <c r="AB53" s="148"/>
      <c r="AC53" s="153"/>
      <c r="AD53" s="166">
        <v>1</v>
      </c>
      <c r="AE53" s="211">
        <v>1</v>
      </c>
      <c r="AF53" s="172"/>
      <c r="AG53" s="173"/>
      <c r="AH53" s="173"/>
      <c r="AI53" s="173"/>
      <c r="AJ53" s="173" t="str">
        <f>"    " &amp; TEXT(AE53,"#0.00%") &amp; " " &amp; "캐릭터 게임형" &amp; " " &amp; IF(P53="","",TEXT(P53,"M/D-")) &amp; IF(Q53="","",TEXT(Q53,"M/D")) &amp; " "</f>
        <v xml:space="preserve">    100.00% 캐릭터 게임형 9/21-10/5 </v>
      </c>
      <c r="AK53" s="173"/>
      <c r="AL53" s="173"/>
      <c r="AM53" s="173"/>
      <c r="AN53" s="173"/>
      <c r="AO53" s="173"/>
      <c r="AP53" s="173"/>
      <c r="AQ53" s="173"/>
      <c r="AR53" s="173"/>
      <c r="AS53" s="173"/>
    </row>
    <row r="54" spans="1:45" ht="12" customHeight="1" outlineLevel="5">
      <c r="A54" s="147"/>
      <c r="B54" s="147"/>
      <c r="C54" s="147">
        <v>6</v>
      </c>
      <c r="D54" s="167" t="s">
        <v>1798</v>
      </c>
      <c r="E54" s="148"/>
      <c r="F54" s="148"/>
      <c r="G54" s="148"/>
      <c r="H54" s="148"/>
      <c r="I54" s="148"/>
      <c r="J54" s="148" t="s">
        <v>1758</v>
      </c>
      <c r="K54" s="148"/>
      <c r="L54" s="148"/>
      <c r="M54" s="148"/>
      <c r="N54" s="220"/>
      <c r="O54" s="148"/>
      <c r="P54" s="149">
        <v>44825</v>
      </c>
      <c r="Q54" s="149">
        <v>44839</v>
      </c>
      <c r="R54" s="148"/>
      <c r="S54" s="150">
        <v>10</v>
      </c>
      <c r="T54" s="150">
        <v>10</v>
      </c>
      <c r="U54" s="150">
        <v>10</v>
      </c>
      <c r="V54" s="150">
        <v>10</v>
      </c>
      <c r="W54" s="149"/>
      <c r="X54" s="149"/>
      <c r="Y54" s="151"/>
      <c r="Z54" s="152">
        <v>0</v>
      </c>
      <c r="AA54" s="150"/>
      <c r="AB54" s="148" t="s">
        <v>1733</v>
      </c>
      <c r="AC54" s="153" t="s">
        <v>1848</v>
      </c>
      <c r="AD54" s="166">
        <v>1</v>
      </c>
      <c r="AE54" s="176">
        <v>1</v>
      </c>
      <c r="AF54" s="172"/>
      <c r="AG54" s="173"/>
      <c r="AH54" s="173"/>
      <c r="AI54" s="173"/>
      <c r="AJ54" s="173" t="str">
        <f>"    " &amp; TEXT(AE54,"#0.00%") &amp; " " &amp; "O/X" &amp; "(이종수[50%],유영주[50%])" &amp; " " &amp; IF(P54="","",TEXT(P54,"M/D-")) &amp; IF(Q54="","",TEXT(Q54,"M/D")) &amp; " "</f>
        <v xml:space="preserve">    100.00% O/X(이종수[50%],유영주[50%]) 9/21-10/5 </v>
      </c>
      <c r="AK54" s="173"/>
      <c r="AL54" s="173"/>
      <c r="AM54" s="173"/>
      <c r="AN54" s="173"/>
      <c r="AO54" s="173"/>
      <c r="AP54" s="173"/>
      <c r="AQ54" s="173"/>
      <c r="AR54" s="173"/>
      <c r="AS54" s="173"/>
    </row>
    <row r="55" spans="1:45" ht="12" customHeight="1" outlineLevel="5">
      <c r="A55" s="147"/>
      <c r="B55" s="147"/>
      <c r="C55" s="147">
        <v>6</v>
      </c>
      <c r="D55" s="167" t="s">
        <v>1799</v>
      </c>
      <c r="E55" s="148"/>
      <c r="F55" s="148"/>
      <c r="G55" s="148"/>
      <c r="H55" s="148"/>
      <c r="I55" s="148"/>
      <c r="J55" s="148" t="s">
        <v>1602</v>
      </c>
      <c r="K55" s="148"/>
      <c r="L55" s="148"/>
      <c r="M55" s="148"/>
      <c r="N55" s="220"/>
      <c r="O55" s="148"/>
      <c r="P55" s="149">
        <v>44825</v>
      </c>
      <c r="Q55" s="149">
        <v>44839</v>
      </c>
      <c r="R55" s="148"/>
      <c r="S55" s="150">
        <v>10</v>
      </c>
      <c r="T55" s="150">
        <v>10</v>
      </c>
      <c r="U55" s="150">
        <v>10</v>
      </c>
      <c r="V55" s="150">
        <v>10</v>
      </c>
      <c r="W55" s="149"/>
      <c r="X55" s="149"/>
      <c r="Y55" s="151"/>
      <c r="Z55" s="152">
        <v>0</v>
      </c>
      <c r="AA55" s="150"/>
      <c r="AB55" s="148" t="s">
        <v>1733</v>
      </c>
      <c r="AC55" s="153" t="s">
        <v>1848</v>
      </c>
      <c r="AD55" s="166">
        <v>1</v>
      </c>
      <c r="AE55" s="176">
        <v>1</v>
      </c>
      <c r="AF55" s="172"/>
      <c r="AG55" s="173"/>
      <c r="AH55" s="173"/>
      <c r="AI55" s="173"/>
      <c r="AJ55" s="173" t="str">
        <f>"    " &amp; TEXT(AE55,"#0.00%") &amp; " " &amp; "객관식" &amp; "(이종수[50%],유영주[50%])" &amp; " " &amp; IF(P55="","",TEXT(P55,"M/D-")) &amp; IF(Q55="","",TEXT(Q55,"M/D")) &amp; " "</f>
        <v xml:space="preserve">    100.00% 객관식(이종수[50%],유영주[50%]) 9/21-10/5 </v>
      </c>
      <c r="AK55" s="173"/>
      <c r="AL55" s="173"/>
      <c r="AM55" s="173"/>
      <c r="AN55" s="173"/>
      <c r="AO55" s="173"/>
      <c r="AP55" s="173"/>
      <c r="AQ55" s="173"/>
      <c r="AR55" s="173"/>
      <c r="AS55" s="173"/>
    </row>
    <row r="56" spans="1:45" ht="12" customHeight="1" outlineLevel="3">
      <c r="A56" s="147"/>
      <c r="B56" s="147" t="s">
        <v>1353</v>
      </c>
      <c r="C56" s="147">
        <v>4</v>
      </c>
      <c r="D56" s="167" t="s">
        <v>1635</v>
      </c>
      <c r="E56" s="148"/>
      <c r="F56" s="148"/>
      <c r="G56" s="148"/>
      <c r="H56" s="148" t="s">
        <v>1754</v>
      </c>
      <c r="I56" s="148"/>
      <c r="J56" s="148"/>
      <c r="K56" s="148"/>
      <c r="L56" s="148"/>
      <c r="M56" s="148"/>
      <c r="N56" s="220"/>
      <c r="O56" s="148"/>
      <c r="P56" s="149">
        <v>44825</v>
      </c>
      <c r="Q56" s="149">
        <v>44839</v>
      </c>
      <c r="R56" s="148"/>
      <c r="S56" s="150">
        <v>60</v>
      </c>
      <c r="T56" s="150">
        <v>60</v>
      </c>
      <c r="U56" s="150">
        <v>10</v>
      </c>
      <c r="V56" s="150">
        <v>10</v>
      </c>
      <c r="W56" s="149"/>
      <c r="X56" s="149"/>
      <c r="Y56" s="151">
        <v>0</v>
      </c>
      <c r="Z56" s="152">
        <v>0</v>
      </c>
      <c r="AA56" s="150"/>
      <c r="AB56" s="148"/>
      <c r="AC56" s="153"/>
      <c r="AD56" s="166">
        <v>1</v>
      </c>
      <c r="AE56" s="211">
        <v>1</v>
      </c>
      <c r="AF56" s="172"/>
      <c r="AG56" s="173"/>
      <c r="AH56" s="173"/>
      <c r="AI56" s="173"/>
      <c r="AJ56" s="173" t="str">
        <f>"    " &amp; TEXT(AE56,"#0.00%") &amp; " " &amp; "필기노트" &amp; " " &amp; IF(P56="","",TEXT(P56,"M/D-")) &amp; IF(Q56="","",TEXT(Q56,"M/D")) &amp; " "</f>
        <v xml:space="preserve">    100.00% 필기노트 9/21-10/5 </v>
      </c>
      <c r="AK56" s="173"/>
      <c r="AL56" s="173"/>
      <c r="AM56" s="173"/>
      <c r="AN56" s="173"/>
      <c r="AO56" s="173"/>
      <c r="AP56" s="173"/>
      <c r="AQ56" s="173"/>
      <c r="AR56" s="173"/>
      <c r="AS56" s="173"/>
    </row>
    <row r="57" spans="1:45" ht="12" customHeight="1" outlineLevel="4">
      <c r="A57" s="147"/>
      <c r="B57" s="147"/>
      <c r="C57" s="147">
        <v>5</v>
      </c>
      <c r="D57" s="167" t="s">
        <v>1636</v>
      </c>
      <c r="E57" s="148"/>
      <c r="F57" s="148"/>
      <c r="G57" s="148"/>
      <c r="H57" s="148"/>
      <c r="I57" s="148" t="s">
        <v>1604</v>
      </c>
      <c r="J57" s="148"/>
      <c r="K57" s="148"/>
      <c r="L57" s="148"/>
      <c r="M57" s="148"/>
      <c r="N57" s="220"/>
      <c r="O57" s="148"/>
      <c r="P57" s="149">
        <v>44825</v>
      </c>
      <c r="Q57" s="149">
        <v>44839</v>
      </c>
      <c r="R57" s="148"/>
      <c r="S57" s="150">
        <v>10</v>
      </c>
      <c r="T57" s="150">
        <v>10</v>
      </c>
      <c r="U57" s="150">
        <v>10</v>
      </c>
      <c r="V57" s="150">
        <v>10</v>
      </c>
      <c r="W57" s="149"/>
      <c r="X57" s="149"/>
      <c r="Y57" s="151"/>
      <c r="Z57" s="152">
        <v>0</v>
      </c>
      <c r="AA57" s="150"/>
      <c r="AB57" s="148" t="s">
        <v>1735</v>
      </c>
      <c r="AC57" s="153" t="s">
        <v>1849</v>
      </c>
      <c r="AD57" s="166">
        <v>1</v>
      </c>
      <c r="AE57" s="176">
        <v>1</v>
      </c>
      <c r="AF57" s="172"/>
      <c r="AG57" s="173"/>
      <c r="AH57" s="173"/>
      <c r="AI57" s="173"/>
      <c r="AJ57" s="173" t="str">
        <f>"    " &amp; TEXT(AE57,"#0.00%") &amp; " " &amp; "텍스트" &amp; "(이종수[50%],편성윤[50%])" &amp; " " &amp; IF(P57="","",TEXT(P57,"M/D-")) &amp; IF(Q57="","",TEXT(Q57,"M/D")) &amp; " "</f>
        <v xml:space="preserve">    100.00% 텍스트(이종수[50%],편성윤[50%]) 9/21-10/5 </v>
      </c>
      <c r="AK57" s="173"/>
      <c r="AL57" s="173"/>
      <c r="AM57" s="173"/>
      <c r="AN57" s="173"/>
      <c r="AO57" s="173"/>
      <c r="AP57" s="173"/>
      <c r="AQ57" s="173"/>
      <c r="AR57" s="173"/>
      <c r="AS57" s="173"/>
    </row>
    <row r="58" spans="1:45" ht="12" customHeight="1" outlineLevel="4">
      <c r="A58" s="147"/>
      <c r="B58" s="147"/>
      <c r="C58" s="147">
        <v>5</v>
      </c>
      <c r="D58" s="167" t="s">
        <v>1637</v>
      </c>
      <c r="E58" s="148"/>
      <c r="F58" s="148"/>
      <c r="G58" s="148"/>
      <c r="H58" s="148"/>
      <c r="I58" s="148" t="s">
        <v>1605</v>
      </c>
      <c r="J58" s="148"/>
      <c r="K58" s="148"/>
      <c r="L58" s="148"/>
      <c r="M58" s="148"/>
      <c r="N58" s="220"/>
      <c r="O58" s="148"/>
      <c r="P58" s="149">
        <v>44825</v>
      </c>
      <c r="Q58" s="149">
        <v>44839</v>
      </c>
      <c r="R58" s="148"/>
      <c r="S58" s="150">
        <v>10</v>
      </c>
      <c r="T58" s="150">
        <v>10</v>
      </c>
      <c r="U58" s="150">
        <v>10</v>
      </c>
      <c r="V58" s="150">
        <v>10</v>
      </c>
      <c r="W58" s="149"/>
      <c r="X58" s="149"/>
      <c r="Y58" s="151"/>
      <c r="Z58" s="152">
        <v>0</v>
      </c>
      <c r="AA58" s="150"/>
      <c r="AB58" s="148" t="s">
        <v>1735</v>
      </c>
      <c r="AC58" s="153" t="s">
        <v>1849</v>
      </c>
      <c r="AD58" s="166">
        <v>1</v>
      </c>
      <c r="AE58" s="176">
        <v>1</v>
      </c>
      <c r="AF58" s="172"/>
      <c r="AG58" s="173"/>
      <c r="AH58" s="173"/>
      <c r="AI58" s="173"/>
      <c r="AJ58" s="173" t="str">
        <f>"    " &amp; TEXT(AE58,"#0.00%") &amp; " " &amp; "펜" &amp; "(이종수[50%],편성윤[50%])" &amp; " " &amp; IF(P58="","",TEXT(P58,"M/D-")) &amp; IF(Q58="","",TEXT(Q58,"M/D")) &amp; " "</f>
        <v xml:space="preserve">    100.00% 펜(이종수[50%],편성윤[50%]) 9/21-10/5 </v>
      </c>
      <c r="AK58" s="173"/>
      <c r="AL58" s="173"/>
      <c r="AM58" s="173"/>
      <c r="AN58" s="173"/>
      <c r="AO58" s="173"/>
      <c r="AP58" s="173"/>
      <c r="AQ58" s="173"/>
      <c r="AR58" s="173"/>
      <c r="AS58" s="173"/>
    </row>
    <row r="59" spans="1:45" ht="12" customHeight="1" outlineLevel="4">
      <c r="A59" s="147"/>
      <c r="B59" s="147"/>
      <c r="C59" s="147">
        <v>5</v>
      </c>
      <c r="D59" s="167" t="s">
        <v>1638</v>
      </c>
      <c r="E59" s="148"/>
      <c r="F59" s="148"/>
      <c r="G59" s="148"/>
      <c r="H59" s="148"/>
      <c r="I59" s="148" t="s">
        <v>1606</v>
      </c>
      <c r="J59" s="148"/>
      <c r="K59" s="148"/>
      <c r="L59" s="148"/>
      <c r="M59" s="148"/>
      <c r="N59" s="220"/>
      <c r="O59" s="148"/>
      <c r="P59" s="149">
        <v>44825</v>
      </c>
      <c r="Q59" s="149">
        <v>44839</v>
      </c>
      <c r="R59" s="148"/>
      <c r="S59" s="150">
        <v>10</v>
      </c>
      <c r="T59" s="150">
        <v>10</v>
      </c>
      <c r="U59" s="150">
        <v>10</v>
      </c>
      <c r="V59" s="150">
        <v>10</v>
      </c>
      <c r="W59" s="149"/>
      <c r="X59" s="149"/>
      <c r="Y59" s="151"/>
      <c r="Z59" s="152">
        <v>0</v>
      </c>
      <c r="AA59" s="150"/>
      <c r="AB59" s="148" t="s">
        <v>1735</v>
      </c>
      <c r="AC59" s="153" t="s">
        <v>1849</v>
      </c>
      <c r="AD59" s="166">
        <v>1</v>
      </c>
      <c r="AE59" s="176">
        <v>1</v>
      </c>
      <c r="AF59" s="172"/>
      <c r="AG59" s="173"/>
      <c r="AH59" s="173"/>
      <c r="AI59" s="173"/>
      <c r="AJ59" s="173" t="str">
        <f>"    " &amp; TEXT(AE59,"#0.00%") &amp; " " &amp; "도형" &amp; "(이종수[50%],편성윤[50%])" &amp; " " &amp; IF(P59="","",TEXT(P59,"M/D-")) &amp; IF(Q59="","",TEXT(Q59,"M/D")) &amp; " "</f>
        <v xml:space="preserve">    100.00% 도형(이종수[50%],편성윤[50%]) 9/21-10/5 </v>
      </c>
      <c r="AK59" s="173"/>
      <c r="AL59" s="173"/>
      <c r="AM59" s="173"/>
      <c r="AN59" s="173"/>
      <c r="AO59" s="173"/>
      <c r="AP59" s="173"/>
      <c r="AQ59" s="173"/>
      <c r="AR59" s="173"/>
      <c r="AS59" s="173"/>
    </row>
    <row r="60" spans="1:45" ht="12" customHeight="1" outlineLevel="4">
      <c r="A60" s="147"/>
      <c r="B60" s="147"/>
      <c r="C60" s="147">
        <v>5</v>
      </c>
      <c r="D60" s="167" t="s">
        <v>1639</v>
      </c>
      <c r="E60" s="148"/>
      <c r="F60" s="148"/>
      <c r="G60" s="148"/>
      <c r="H60" s="148"/>
      <c r="I60" s="148" t="s">
        <v>1707</v>
      </c>
      <c r="J60" s="148"/>
      <c r="K60" s="148"/>
      <c r="L60" s="148"/>
      <c r="M60" s="148"/>
      <c r="N60" s="220"/>
      <c r="O60" s="148"/>
      <c r="P60" s="149">
        <v>44825</v>
      </c>
      <c r="Q60" s="149">
        <v>44839</v>
      </c>
      <c r="R60" s="148"/>
      <c r="S60" s="150">
        <v>10</v>
      </c>
      <c r="T60" s="150">
        <v>10</v>
      </c>
      <c r="U60" s="150">
        <v>10</v>
      </c>
      <c r="V60" s="150">
        <v>10</v>
      </c>
      <c r="W60" s="149"/>
      <c r="X60" s="149"/>
      <c r="Y60" s="151"/>
      <c r="Z60" s="152">
        <v>0</v>
      </c>
      <c r="AA60" s="150"/>
      <c r="AB60" s="148" t="s">
        <v>1735</v>
      </c>
      <c r="AC60" s="153" t="s">
        <v>1849</v>
      </c>
      <c r="AD60" s="166">
        <v>1</v>
      </c>
      <c r="AE60" s="176">
        <v>1</v>
      </c>
      <c r="AF60" s="172"/>
      <c r="AG60" s="173"/>
      <c r="AH60" s="173"/>
      <c r="AI60" s="173"/>
      <c r="AJ60" s="173" t="str">
        <f>"    " &amp; TEXT(AE60,"#0.00%") &amp; " " &amp; "파일 저장 기능" &amp; "(이종수[50%],편성윤[50%])" &amp; " " &amp; IF(P60="","",TEXT(P60,"M/D-")) &amp; IF(Q60="","",TEXT(Q60,"M/D")) &amp; " "</f>
        <v xml:space="preserve">    100.00% 파일 저장 기능(이종수[50%],편성윤[50%]) 9/21-10/5 </v>
      </c>
      <c r="AK60" s="173"/>
      <c r="AL60" s="173"/>
      <c r="AM60" s="173"/>
      <c r="AN60" s="173"/>
      <c r="AO60" s="173"/>
      <c r="AP60" s="173"/>
      <c r="AQ60" s="173"/>
      <c r="AR60" s="173"/>
      <c r="AS60" s="173"/>
    </row>
    <row r="61" spans="1:45" ht="12" customHeight="1" outlineLevel="4">
      <c r="A61" s="147"/>
      <c r="B61" s="147"/>
      <c r="C61" s="147">
        <v>5</v>
      </c>
      <c r="D61" s="167" t="s">
        <v>1640</v>
      </c>
      <c r="E61" s="148"/>
      <c r="F61" s="148"/>
      <c r="G61" s="148"/>
      <c r="H61" s="148"/>
      <c r="I61" s="148" t="s">
        <v>1708</v>
      </c>
      <c r="J61" s="148"/>
      <c r="K61" s="148"/>
      <c r="L61" s="148"/>
      <c r="M61" s="148"/>
      <c r="N61" s="220"/>
      <c r="O61" s="148"/>
      <c r="P61" s="149">
        <v>44825</v>
      </c>
      <c r="Q61" s="149">
        <v>44839</v>
      </c>
      <c r="R61" s="148"/>
      <c r="S61" s="150">
        <v>10</v>
      </c>
      <c r="T61" s="150">
        <v>10</v>
      </c>
      <c r="U61" s="150">
        <v>10</v>
      </c>
      <c r="V61" s="150">
        <v>10</v>
      </c>
      <c r="W61" s="149"/>
      <c r="X61" s="149"/>
      <c r="Y61" s="151"/>
      <c r="Z61" s="152">
        <v>0</v>
      </c>
      <c r="AA61" s="150"/>
      <c r="AB61" s="148" t="s">
        <v>1735</v>
      </c>
      <c r="AC61" s="153" t="s">
        <v>1849</v>
      </c>
      <c r="AD61" s="166">
        <v>1</v>
      </c>
      <c r="AE61" s="176">
        <v>1</v>
      </c>
      <c r="AF61" s="172"/>
      <c r="AG61" s="173"/>
      <c r="AH61" s="173"/>
      <c r="AI61" s="173"/>
      <c r="AJ61" s="173" t="str">
        <f>"    " &amp; TEXT(AE61,"#0.00%") &amp; " " &amp; "교수 화면 캡쳐기능" &amp; "(이종수[50%],편성윤[50%])" &amp; " " &amp; IF(P61="","",TEXT(P61,"M/D-")) &amp; IF(Q61="","",TEXT(Q61,"M/D")) &amp; " "</f>
        <v xml:space="preserve">    100.00% 교수 화면 캡쳐기능(이종수[50%],편성윤[50%]) 9/21-10/5 </v>
      </c>
      <c r="AK61" s="173"/>
      <c r="AL61" s="173"/>
      <c r="AM61" s="173"/>
      <c r="AN61" s="173"/>
      <c r="AO61" s="173"/>
      <c r="AP61" s="173"/>
      <c r="AQ61" s="173"/>
      <c r="AR61" s="173"/>
      <c r="AS61" s="173"/>
    </row>
    <row r="62" spans="1:45" ht="12" customHeight="1" outlineLevel="4">
      <c r="A62" s="147"/>
      <c r="B62" s="147"/>
      <c r="C62" s="147">
        <v>5</v>
      </c>
      <c r="D62" s="167" t="s">
        <v>1641</v>
      </c>
      <c r="E62" s="148"/>
      <c r="F62" s="148"/>
      <c r="G62" s="148"/>
      <c r="H62" s="148"/>
      <c r="I62" s="148" t="s">
        <v>1718</v>
      </c>
      <c r="J62" s="148"/>
      <c r="K62" s="148"/>
      <c r="L62" s="148"/>
      <c r="M62" s="148"/>
      <c r="N62" s="220"/>
      <c r="O62" s="148"/>
      <c r="P62" s="149">
        <v>44825</v>
      </c>
      <c r="Q62" s="149">
        <v>44839</v>
      </c>
      <c r="R62" s="148"/>
      <c r="S62" s="150">
        <v>10</v>
      </c>
      <c r="T62" s="150">
        <v>10</v>
      </c>
      <c r="U62" s="150">
        <v>10</v>
      </c>
      <c r="V62" s="150">
        <v>10</v>
      </c>
      <c r="W62" s="149"/>
      <c r="X62" s="149"/>
      <c r="Y62" s="151"/>
      <c r="Z62" s="152">
        <v>0</v>
      </c>
      <c r="AA62" s="150"/>
      <c r="AB62" s="148" t="s">
        <v>1735</v>
      </c>
      <c r="AC62" s="153" t="s">
        <v>1849</v>
      </c>
      <c r="AD62" s="166">
        <v>1</v>
      </c>
      <c r="AE62" s="176">
        <v>1</v>
      </c>
      <c r="AF62" s="172"/>
      <c r="AG62" s="173"/>
      <c r="AH62" s="173"/>
      <c r="AI62" s="173"/>
      <c r="AJ62" s="173" t="str">
        <f>"    " &amp; TEXT(AE62,"#0.00%") &amp; " " &amp; "캡처 리스트" &amp; "(이종수[50%],편성윤[50%])" &amp; " " &amp; IF(P62="","",TEXT(P62,"M/D-")) &amp; IF(Q62="","",TEXT(Q62,"M/D")) &amp; " "</f>
        <v xml:space="preserve">    100.00% 캡처 리스트(이종수[50%],편성윤[50%]) 9/21-10/5 </v>
      </c>
      <c r="AK62" s="173"/>
      <c r="AL62" s="173"/>
      <c r="AM62" s="173"/>
      <c r="AN62" s="173"/>
      <c r="AO62" s="173"/>
      <c r="AP62" s="173"/>
      <c r="AQ62" s="173"/>
      <c r="AR62" s="173"/>
      <c r="AS62" s="173"/>
    </row>
    <row r="63" spans="1:45" ht="12" customHeight="1" outlineLevel="3">
      <c r="A63" s="147"/>
      <c r="B63" s="147" t="s">
        <v>1353</v>
      </c>
      <c r="C63" s="147">
        <v>4</v>
      </c>
      <c r="D63" s="167" t="s">
        <v>1642</v>
      </c>
      <c r="E63" s="148"/>
      <c r="F63" s="148"/>
      <c r="G63" s="148"/>
      <c r="H63" s="148" t="s">
        <v>1607</v>
      </c>
      <c r="I63" s="148"/>
      <c r="J63" s="148"/>
      <c r="K63" s="148"/>
      <c r="L63" s="148"/>
      <c r="M63" s="148"/>
      <c r="N63" s="220"/>
      <c r="O63" s="148"/>
      <c r="P63" s="149">
        <v>44825</v>
      </c>
      <c r="Q63" s="149">
        <v>44839</v>
      </c>
      <c r="R63" s="148"/>
      <c r="S63" s="150">
        <v>30</v>
      </c>
      <c r="T63" s="150">
        <v>30</v>
      </c>
      <c r="U63" s="150">
        <v>10</v>
      </c>
      <c r="V63" s="150">
        <v>10</v>
      </c>
      <c r="W63" s="149"/>
      <c r="X63" s="149"/>
      <c r="Y63" s="151">
        <v>0</v>
      </c>
      <c r="Z63" s="152">
        <v>0</v>
      </c>
      <c r="AA63" s="150"/>
      <c r="AB63" s="148"/>
      <c r="AC63" s="153"/>
      <c r="AD63" s="166">
        <v>1</v>
      </c>
      <c r="AE63" s="211">
        <v>1</v>
      </c>
      <c r="AF63" s="172"/>
      <c r="AG63" s="173"/>
      <c r="AH63" s="173"/>
      <c r="AI63" s="173"/>
      <c r="AJ63" s="173" t="str">
        <f>"    " &amp; TEXT(AE63,"#0.00%") &amp; " " &amp; "화면 송수신" &amp; " " &amp; IF(P63="","",TEXT(P63,"M/D-")) &amp; IF(Q63="","",TEXT(Q63,"M/D")) &amp; " "</f>
        <v xml:space="preserve">    100.00% 화면 송수신 9/21-10/5 </v>
      </c>
      <c r="AK63" s="173"/>
      <c r="AL63" s="173"/>
      <c r="AM63" s="173"/>
      <c r="AN63" s="173"/>
      <c r="AO63" s="173"/>
      <c r="AP63" s="173"/>
      <c r="AQ63" s="173"/>
      <c r="AR63" s="173"/>
      <c r="AS63" s="173"/>
    </row>
    <row r="64" spans="1:45" ht="12" customHeight="1" outlineLevel="4">
      <c r="A64" s="147"/>
      <c r="B64" s="147"/>
      <c r="C64" s="147">
        <v>5</v>
      </c>
      <c r="D64" s="167" t="s">
        <v>1643</v>
      </c>
      <c r="E64" s="148"/>
      <c r="F64" s="148"/>
      <c r="G64" s="148"/>
      <c r="H64" s="148"/>
      <c r="I64" s="148" t="s">
        <v>1608</v>
      </c>
      <c r="J64" s="148"/>
      <c r="K64" s="148"/>
      <c r="L64" s="148"/>
      <c r="M64" s="148"/>
      <c r="N64" s="220"/>
      <c r="O64" s="148"/>
      <c r="P64" s="149">
        <v>44825</v>
      </c>
      <c r="Q64" s="149">
        <v>44839</v>
      </c>
      <c r="R64" s="148"/>
      <c r="S64" s="150">
        <v>10</v>
      </c>
      <c r="T64" s="150">
        <v>10</v>
      </c>
      <c r="U64" s="150">
        <v>10</v>
      </c>
      <c r="V64" s="150">
        <v>10</v>
      </c>
      <c r="W64" s="149"/>
      <c r="X64" s="149"/>
      <c r="Y64" s="151"/>
      <c r="Z64" s="152">
        <v>0</v>
      </c>
      <c r="AA64" s="150"/>
      <c r="AB64" s="148" t="s">
        <v>1733</v>
      </c>
      <c r="AC64" s="153" t="s">
        <v>1848</v>
      </c>
      <c r="AD64" s="166">
        <v>1</v>
      </c>
      <c r="AE64" s="176">
        <v>1</v>
      </c>
      <c r="AF64" s="172"/>
      <c r="AG64" s="173"/>
      <c r="AH64" s="173"/>
      <c r="AI64" s="173"/>
      <c r="AJ64" s="173" t="str">
        <f>"    " &amp; TEXT(AE64,"#0.00%") &amp; " " &amp; "클라이언트 송신" &amp; "(이종수[50%],유영주[50%])" &amp; " " &amp; IF(P64="","",TEXT(P64,"M/D-")) &amp; IF(Q64="","",TEXT(Q64,"M/D")) &amp; " "</f>
        <v xml:space="preserve">    100.00% 클라이언트 송신(이종수[50%],유영주[50%]) 9/21-10/5 </v>
      </c>
      <c r="AK64" s="173"/>
      <c r="AL64" s="173"/>
      <c r="AM64" s="173"/>
      <c r="AN64" s="173"/>
      <c r="AO64" s="173"/>
      <c r="AP64" s="173"/>
      <c r="AQ64" s="173"/>
      <c r="AR64" s="173"/>
      <c r="AS64" s="173"/>
    </row>
    <row r="65" spans="1:45" ht="12" customHeight="1" outlineLevel="4">
      <c r="A65" s="147"/>
      <c r="B65" s="147"/>
      <c r="C65" s="147">
        <v>5</v>
      </c>
      <c r="D65" s="167" t="s">
        <v>1644</v>
      </c>
      <c r="E65" s="148"/>
      <c r="F65" s="148"/>
      <c r="G65" s="148"/>
      <c r="H65" s="148"/>
      <c r="I65" s="148" t="s">
        <v>1609</v>
      </c>
      <c r="J65" s="148"/>
      <c r="K65" s="148"/>
      <c r="L65" s="148"/>
      <c r="M65" s="148"/>
      <c r="N65" s="220"/>
      <c r="O65" s="148"/>
      <c r="P65" s="149">
        <v>44825</v>
      </c>
      <c r="Q65" s="149">
        <v>44839</v>
      </c>
      <c r="R65" s="148"/>
      <c r="S65" s="150">
        <v>10</v>
      </c>
      <c r="T65" s="150">
        <v>10</v>
      </c>
      <c r="U65" s="150">
        <v>10</v>
      </c>
      <c r="V65" s="150">
        <v>10</v>
      </c>
      <c r="W65" s="149"/>
      <c r="X65" s="149"/>
      <c r="Y65" s="151"/>
      <c r="Z65" s="152">
        <v>0</v>
      </c>
      <c r="AA65" s="150"/>
      <c r="AB65" s="148" t="s">
        <v>1733</v>
      </c>
      <c r="AC65" s="153" t="s">
        <v>1848</v>
      </c>
      <c r="AD65" s="166">
        <v>1</v>
      </c>
      <c r="AE65" s="176">
        <v>1</v>
      </c>
      <c r="AF65" s="172"/>
      <c r="AG65" s="173"/>
      <c r="AH65" s="173"/>
      <c r="AI65" s="173"/>
      <c r="AJ65" s="173" t="str">
        <f>"    " &amp; TEXT(AE65,"#0.00%") &amp; " " &amp; "서버 수신" &amp; "(이종수[50%],유영주[50%])" &amp; " " &amp; IF(P65="","",TEXT(P65,"M/D-")) &amp; IF(Q65="","",TEXT(Q65,"M/D")) &amp; " "</f>
        <v xml:space="preserve">    100.00% 서버 수신(이종수[50%],유영주[50%]) 9/21-10/5 </v>
      </c>
      <c r="AK65" s="173"/>
      <c r="AL65" s="173"/>
      <c r="AM65" s="173"/>
      <c r="AN65" s="173"/>
      <c r="AO65" s="173"/>
      <c r="AP65" s="173"/>
      <c r="AQ65" s="173"/>
      <c r="AR65" s="173"/>
      <c r="AS65" s="173"/>
    </row>
    <row r="66" spans="1:45" ht="12" customHeight="1" outlineLevel="4">
      <c r="A66" s="147"/>
      <c r="B66" s="147"/>
      <c r="C66" s="147">
        <v>5</v>
      </c>
      <c r="D66" s="167" t="s">
        <v>1719</v>
      </c>
      <c r="E66" s="148"/>
      <c r="F66" s="148"/>
      <c r="G66" s="148"/>
      <c r="H66" s="148"/>
      <c r="I66" s="148" t="s">
        <v>1708</v>
      </c>
      <c r="J66" s="148"/>
      <c r="K66" s="148"/>
      <c r="L66" s="148"/>
      <c r="M66" s="148"/>
      <c r="N66" s="220"/>
      <c r="O66" s="148"/>
      <c r="P66" s="149">
        <v>44825</v>
      </c>
      <c r="Q66" s="149">
        <v>44839</v>
      </c>
      <c r="R66" s="148"/>
      <c r="S66" s="150">
        <v>10</v>
      </c>
      <c r="T66" s="150">
        <v>10</v>
      </c>
      <c r="U66" s="150">
        <v>10</v>
      </c>
      <c r="V66" s="150">
        <v>10</v>
      </c>
      <c r="W66" s="149"/>
      <c r="X66" s="149"/>
      <c r="Y66" s="151"/>
      <c r="Z66" s="152">
        <v>0</v>
      </c>
      <c r="AA66" s="150"/>
      <c r="AB66" s="148" t="s">
        <v>1733</v>
      </c>
      <c r="AC66" s="153" t="s">
        <v>1848</v>
      </c>
      <c r="AD66" s="166">
        <v>1</v>
      </c>
      <c r="AE66" s="176">
        <v>1</v>
      </c>
      <c r="AF66" s="172"/>
      <c r="AG66" s="173"/>
      <c r="AH66" s="173"/>
      <c r="AI66" s="173"/>
      <c r="AJ66" s="173" t="str">
        <f>"    " &amp; TEXT(AE66,"#0.00%") &amp; " " &amp; "교수 화면 캡쳐기능" &amp; "(이종수[50%],유영주[50%])" &amp; " " &amp; IF(P66="","",TEXT(P66,"M/D-")) &amp; IF(Q66="","",TEXT(Q66,"M/D")) &amp; " "</f>
        <v xml:space="preserve">    100.00% 교수 화면 캡쳐기능(이종수[50%],유영주[50%]) 9/21-10/5 </v>
      </c>
      <c r="AK66" s="173"/>
      <c r="AL66" s="173"/>
      <c r="AM66" s="173"/>
      <c r="AN66" s="173"/>
      <c r="AO66" s="173"/>
      <c r="AP66" s="173"/>
      <c r="AQ66" s="173"/>
      <c r="AR66" s="173"/>
      <c r="AS66" s="173"/>
    </row>
    <row r="67" spans="1:45" ht="12" customHeight="1" outlineLevel="3">
      <c r="A67" s="147"/>
      <c r="B67" s="147" t="s">
        <v>1353</v>
      </c>
      <c r="C67" s="147">
        <v>4</v>
      </c>
      <c r="D67" s="167" t="s">
        <v>1712</v>
      </c>
      <c r="E67" s="148"/>
      <c r="F67" s="148"/>
      <c r="G67" s="148"/>
      <c r="H67" s="148" t="s">
        <v>1709</v>
      </c>
      <c r="I67" s="148"/>
      <c r="J67" s="148"/>
      <c r="K67" s="148"/>
      <c r="L67" s="148"/>
      <c r="M67" s="148"/>
      <c r="N67" s="220"/>
      <c r="O67" s="148"/>
      <c r="P67" s="149">
        <v>44825</v>
      </c>
      <c r="Q67" s="149">
        <v>44839</v>
      </c>
      <c r="R67" s="148"/>
      <c r="S67" s="150">
        <v>30</v>
      </c>
      <c r="T67" s="150">
        <v>30</v>
      </c>
      <c r="U67" s="150">
        <v>10</v>
      </c>
      <c r="V67" s="150">
        <v>10</v>
      </c>
      <c r="W67" s="149"/>
      <c r="X67" s="149"/>
      <c r="Y67" s="151">
        <v>0</v>
      </c>
      <c r="Z67" s="152">
        <v>0</v>
      </c>
      <c r="AA67" s="150"/>
      <c r="AB67" s="148"/>
      <c r="AC67" s="153"/>
      <c r="AD67" s="166">
        <v>1</v>
      </c>
      <c r="AE67" s="211">
        <v>1</v>
      </c>
      <c r="AF67" s="172"/>
      <c r="AG67" s="173"/>
      <c r="AH67" s="173"/>
      <c r="AI67" s="173"/>
      <c r="AJ67" s="173" t="str">
        <f>"    " &amp; TEXT(AE67,"#0.00%") &amp; " " &amp; "구글 드라이브" &amp; " " &amp; IF(P67="","",TEXT(P67,"M/D-")) &amp; IF(Q67="","",TEXT(Q67,"M/D")) &amp; " "</f>
        <v xml:space="preserve">    100.00% 구글 드라이브 9/21-10/5 </v>
      </c>
      <c r="AK67" s="173"/>
      <c r="AL67" s="173"/>
      <c r="AM67" s="173"/>
      <c r="AN67" s="173"/>
      <c r="AO67" s="173"/>
      <c r="AP67" s="173"/>
      <c r="AQ67" s="173"/>
      <c r="AR67" s="173"/>
      <c r="AS67" s="173"/>
    </row>
    <row r="68" spans="1:45" ht="12" customHeight="1" outlineLevel="4">
      <c r="A68" s="147"/>
      <c r="B68" s="147"/>
      <c r="C68" s="147">
        <v>5</v>
      </c>
      <c r="D68" s="167" t="s">
        <v>1713</v>
      </c>
      <c r="E68" s="148"/>
      <c r="F68" s="148"/>
      <c r="G68" s="148"/>
      <c r="H68" s="148"/>
      <c r="I68" s="148" t="s">
        <v>1710</v>
      </c>
      <c r="J68" s="148"/>
      <c r="K68" s="148"/>
      <c r="L68" s="148"/>
      <c r="M68" s="148"/>
      <c r="N68" s="220"/>
      <c r="O68" s="148"/>
      <c r="P68" s="149">
        <v>44825</v>
      </c>
      <c r="Q68" s="149">
        <v>44839</v>
      </c>
      <c r="R68" s="148"/>
      <c r="S68" s="150">
        <v>10</v>
      </c>
      <c r="T68" s="150">
        <v>10</v>
      </c>
      <c r="U68" s="150">
        <v>10</v>
      </c>
      <c r="V68" s="150">
        <v>10</v>
      </c>
      <c r="W68" s="149"/>
      <c r="X68" s="149"/>
      <c r="Y68" s="151"/>
      <c r="Z68" s="152">
        <v>0</v>
      </c>
      <c r="AA68" s="150"/>
      <c r="AB68" s="148" t="s">
        <v>1733</v>
      </c>
      <c r="AC68" s="153"/>
      <c r="AD68" s="166">
        <v>1</v>
      </c>
      <c r="AE68" s="176">
        <v>1</v>
      </c>
      <c r="AF68" s="172"/>
      <c r="AG68" s="173"/>
      <c r="AH68" s="173"/>
      <c r="AI68" s="173"/>
      <c r="AJ68" s="173" t="str">
        <f>"    " &amp; TEXT(AE68,"#0.00%") &amp; " " &amp; "로그인" &amp; "(이종수[50%],유영주[50%])" &amp; " " &amp; IF(P68="","",TEXT(P68,"M/D-")) &amp; IF(Q68="","",TEXT(Q68,"M/D")) &amp; " "</f>
        <v xml:space="preserve">    100.00% 로그인(이종수[50%],유영주[50%]) 9/21-10/5 </v>
      </c>
      <c r="AK68" s="173"/>
      <c r="AL68" s="173"/>
      <c r="AM68" s="173"/>
      <c r="AN68" s="173"/>
      <c r="AO68" s="173"/>
      <c r="AP68" s="173"/>
      <c r="AQ68" s="173"/>
      <c r="AR68" s="173"/>
      <c r="AS68" s="173"/>
    </row>
    <row r="69" spans="1:45" ht="12" customHeight="1" outlineLevel="4">
      <c r="A69" s="147"/>
      <c r="B69" s="147"/>
      <c r="C69" s="147">
        <v>5</v>
      </c>
      <c r="D69" s="167" t="s">
        <v>1714</v>
      </c>
      <c r="E69" s="148"/>
      <c r="F69" s="148"/>
      <c r="G69" s="148"/>
      <c r="H69" s="148"/>
      <c r="I69" s="148" t="s">
        <v>1711</v>
      </c>
      <c r="J69" s="148"/>
      <c r="K69" s="148"/>
      <c r="L69" s="148"/>
      <c r="M69" s="148"/>
      <c r="N69" s="220"/>
      <c r="O69" s="148"/>
      <c r="P69" s="149">
        <v>44825</v>
      </c>
      <c r="Q69" s="149">
        <v>44839</v>
      </c>
      <c r="R69" s="148"/>
      <c r="S69" s="150">
        <v>10</v>
      </c>
      <c r="T69" s="150">
        <v>10</v>
      </c>
      <c r="U69" s="150">
        <v>10</v>
      </c>
      <c r="V69" s="150">
        <v>10</v>
      </c>
      <c r="W69" s="149"/>
      <c r="X69" s="149"/>
      <c r="Y69" s="151"/>
      <c r="Z69" s="152">
        <v>0</v>
      </c>
      <c r="AA69" s="150"/>
      <c r="AB69" s="148" t="s">
        <v>1733</v>
      </c>
      <c r="AC69" s="153"/>
      <c r="AD69" s="166">
        <v>1</v>
      </c>
      <c r="AE69" s="176">
        <v>1</v>
      </c>
      <c r="AF69" s="172"/>
      <c r="AG69" s="173"/>
      <c r="AH69" s="173"/>
      <c r="AI69" s="173"/>
      <c r="AJ69" s="173" t="str">
        <f>"    " &amp; TEXT(AE69,"#0.00%") &amp; " " &amp; "드라이브 저장" &amp; "(이종수[50%],유영주[50%])" &amp; " " &amp; IF(P69="","",TEXT(P69,"M/D-")) &amp; IF(Q69="","",TEXT(Q69,"M/D")) &amp; " "</f>
        <v xml:space="preserve">    100.00% 드라이브 저장(이종수[50%],유영주[50%]) 9/21-10/5 </v>
      </c>
      <c r="AK69" s="173"/>
      <c r="AL69" s="173"/>
      <c r="AM69" s="173"/>
      <c r="AN69" s="173"/>
      <c r="AO69" s="173"/>
      <c r="AP69" s="173"/>
      <c r="AQ69" s="173"/>
      <c r="AR69" s="173"/>
      <c r="AS69" s="173"/>
    </row>
    <row r="70" spans="1:45" ht="12" customHeight="1" outlineLevel="4">
      <c r="A70" s="147"/>
      <c r="B70" s="147"/>
      <c r="C70" s="147">
        <v>5</v>
      </c>
      <c r="D70" s="167" t="s">
        <v>1723</v>
      </c>
      <c r="E70" s="148"/>
      <c r="F70" s="148"/>
      <c r="G70" s="148"/>
      <c r="H70" s="148"/>
      <c r="I70" s="148" t="s">
        <v>1720</v>
      </c>
      <c r="J70" s="148"/>
      <c r="K70" s="148"/>
      <c r="L70" s="148"/>
      <c r="M70" s="148"/>
      <c r="N70" s="220"/>
      <c r="O70" s="148"/>
      <c r="P70" s="149">
        <v>44825</v>
      </c>
      <c r="Q70" s="149">
        <v>44839</v>
      </c>
      <c r="R70" s="148"/>
      <c r="S70" s="150">
        <v>10</v>
      </c>
      <c r="T70" s="150">
        <v>10</v>
      </c>
      <c r="U70" s="150">
        <v>10</v>
      </c>
      <c r="V70" s="150">
        <v>10</v>
      </c>
      <c r="W70" s="149"/>
      <c r="X70" s="149"/>
      <c r="Y70" s="151"/>
      <c r="Z70" s="152">
        <v>0</v>
      </c>
      <c r="AA70" s="150"/>
      <c r="AB70" s="148" t="s">
        <v>1733</v>
      </c>
      <c r="AC70" s="153"/>
      <c r="AD70" s="166">
        <v>1</v>
      </c>
      <c r="AE70" s="176">
        <v>1</v>
      </c>
      <c r="AF70" s="172"/>
      <c r="AG70" s="173"/>
      <c r="AH70" s="173"/>
      <c r="AI70" s="173"/>
      <c r="AJ70" s="173" t="str">
        <f>"    " &amp; TEXT(AE70,"#0.00%") &amp; " " &amp; "드라이브 페이지 열기" &amp; "(이종수[50%],유영주[50%])" &amp; " " &amp; IF(P70="","",TEXT(P70,"M/D-")) &amp; IF(Q70="","",TEXT(Q70,"M/D")) &amp; " "</f>
        <v xml:space="preserve">    100.00% 드라이브 페이지 열기(이종수[50%],유영주[50%]) 9/21-10/5 </v>
      </c>
      <c r="AK70" s="173"/>
      <c r="AL70" s="173"/>
      <c r="AM70" s="173"/>
      <c r="AN70" s="173"/>
      <c r="AO70" s="173"/>
      <c r="AP70" s="173"/>
      <c r="AQ70" s="173"/>
      <c r="AR70" s="173"/>
      <c r="AS70" s="173"/>
    </row>
    <row r="71" spans="1:45" ht="12" customHeight="1" outlineLevel="2">
      <c r="A71" s="147"/>
      <c r="B71" s="147" t="s">
        <v>1353</v>
      </c>
      <c r="C71" s="147">
        <v>3</v>
      </c>
      <c r="D71" s="167" t="s">
        <v>1645</v>
      </c>
      <c r="E71" s="148"/>
      <c r="F71" s="148"/>
      <c r="G71" s="148" t="s">
        <v>1553</v>
      </c>
      <c r="H71" s="148"/>
      <c r="I71" s="148"/>
      <c r="J71" s="148"/>
      <c r="K71" s="148"/>
      <c r="L71" s="148"/>
      <c r="M71" s="148"/>
      <c r="N71" s="220"/>
      <c r="O71" s="148"/>
      <c r="P71" s="149">
        <v>44825</v>
      </c>
      <c r="Q71" s="149">
        <v>44832</v>
      </c>
      <c r="R71" s="148"/>
      <c r="S71" s="150">
        <v>84</v>
      </c>
      <c r="T71" s="150">
        <v>84</v>
      </c>
      <c r="U71" s="150">
        <v>6</v>
      </c>
      <c r="V71" s="150">
        <v>6</v>
      </c>
      <c r="W71" s="149"/>
      <c r="X71" s="149"/>
      <c r="Y71" s="151">
        <v>0</v>
      </c>
      <c r="Z71" s="152">
        <v>0</v>
      </c>
      <c r="AA71" s="150"/>
      <c r="AB71" s="148"/>
      <c r="AC71" s="153"/>
      <c r="AD71" s="166">
        <v>1</v>
      </c>
      <c r="AE71" s="211">
        <v>1</v>
      </c>
      <c r="AF71" s="172"/>
      <c r="AG71" s="173"/>
      <c r="AH71" s="173"/>
      <c r="AI71" s="173" t="str">
        <f>"    " &amp; TEXT(AE71,"#0.00%") &amp; " " &amp; "서버" &amp; " " &amp; IF(P71="","",TEXT(P71,"M/D-")) &amp; IF(Q71="","",TEXT(Q71,"M/D")) &amp; " "</f>
        <v xml:space="preserve">    100.00% 서버 9/21-9/28 </v>
      </c>
      <c r="AJ71" s="173"/>
      <c r="AK71" s="173"/>
      <c r="AL71" s="173"/>
      <c r="AM71" s="173"/>
      <c r="AN71" s="173"/>
      <c r="AO71" s="173"/>
      <c r="AP71" s="173"/>
      <c r="AQ71" s="173"/>
      <c r="AR71" s="173"/>
      <c r="AS71" s="173"/>
    </row>
    <row r="72" spans="1:45" ht="12" customHeight="1" outlineLevel="3">
      <c r="A72" s="147"/>
      <c r="B72" s="147" t="s">
        <v>1353</v>
      </c>
      <c r="C72" s="147">
        <v>4</v>
      </c>
      <c r="D72" s="167" t="s">
        <v>1646</v>
      </c>
      <c r="E72" s="148"/>
      <c r="F72" s="148"/>
      <c r="G72" s="148"/>
      <c r="H72" s="148" t="s">
        <v>1598</v>
      </c>
      <c r="I72" s="148"/>
      <c r="J72" s="148"/>
      <c r="K72" s="148"/>
      <c r="L72" s="148"/>
      <c r="M72" s="148"/>
      <c r="N72" s="220"/>
      <c r="O72" s="148"/>
      <c r="P72" s="149">
        <v>44825</v>
      </c>
      <c r="Q72" s="149">
        <v>44832</v>
      </c>
      <c r="R72" s="148"/>
      <c r="S72" s="150">
        <v>12</v>
      </c>
      <c r="T72" s="150">
        <v>12</v>
      </c>
      <c r="U72" s="150">
        <v>6</v>
      </c>
      <c r="V72" s="150">
        <v>6</v>
      </c>
      <c r="W72" s="149"/>
      <c r="X72" s="149"/>
      <c r="Y72" s="151">
        <v>0</v>
      </c>
      <c r="Z72" s="152">
        <v>0</v>
      </c>
      <c r="AA72" s="150"/>
      <c r="AB72" s="148"/>
      <c r="AC72" s="153"/>
      <c r="AD72" s="166">
        <v>1</v>
      </c>
      <c r="AE72" s="211">
        <v>1</v>
      </c>
      <c r="AF72" s="172"/>
      <c r="AG72" s="173"/>
      <c r="AH72" s="173"/>
      <c r="AI72" s="173" t="str">
        <f>"    " &amp; TEXT(AE72,"#0.00%") &amp; " " &amp; "채팅" &amp; " " &amp; IF(P72="","",TEXT(P72,"M/D-")) &amp; IF(Q72="","",TEXT(Q72,"M/D")) &amp; " "</f>
        <v xml:space="preserve">    100.00% 채팅 9/21-9/28 </v>
      </c>
      <c r="AJ72" s="173"/>
      <c r="AK72" s="173"/>
      <c r="AL72" s="173"/>
      <c r="AM72" s="173"/>
      <c r="AN72" s="173"/>
      <c r="AO72" s="173"/>
      <c r="AP72" s="173"/>
      <c r="AQ72" s="173"/>
      <c r="AR72" s="173"/>
      <c r="AS72" s="173"/>
    </row>
    <row r="73" spans="1:45" ht="12" customHeight="1" outlineLevel="4">
      <c r="A73" s="147"/>
      <c r="B73" s="147"/>
      <c r="C73" s="147">
        <v>5</v>
      </c>
      <c r="D73" s="167" t="s">
        <v>1647</v>
      </c>
      <c r="E73" s="148"/>
      <c r="F73" s="148"/>
      <c r="G73" s="148"/>
      <c r="H73" s="148"/>
      <c r="I73" s="148" t="s">
        <v>1599</v>
      </c>
      <c r="J73" s="148"/>
      <c r="K73" s="148"/>
      <c r="L73" s="148"/>
      <c r="M73" s="148"/>
      <c r="N73" s="220"/>
      <c r="O73" s="148"/>
      <c r="P73" s="149">
        <v>44825</v>
      </c>
      <c r="Q73" s="149">
        <v>44832</v>
      </c>
      <c r="R73" s="148"/>
      <c r="S73" s="150">
        <v>6</v>
      </c>
      <c r="T73" s="150">
        <v>6</v>
      </c>
      <c r="U73" s="150">
        <v>6</v>
      </c>
      <c r="V73" s="150">
        <v>6</v>
      </c>
      <c r="W73" s="149"/>
      <c r="X73" s="149"/>
      <c r="Y73" s="151"/>
      <c r="Z73" s="152">
        <v>0</v>
      </c>
      <c r="AA73" s="150"/>
      <c r="AB73" s="148" t="s">
        <v>1734</v>
      </c>
      <c r="AC73" s="153" t="s">
        <v>1755</v>
      </c>
      <c r="AD73" s="166">
        <v>1</v>
      </c>
      <c r="AE73" s="176">
        <v>1</v>
      </c>
      <c r="AF73" s="172"/>
      <c r="AG73" s="173"/>
      <c r="AH73" s="173"/>
      <c r="AI73" s="173" t="str">
        <f>"    " &amp; TEXT(AE73,"#0.00%") &amp; " " &amp; "전체" &amp; "(장진[50%],이태양[50%])" &amp; " " &amp; IF(P73="","",TEXT(P73,"M/D-")) &amp; IF(Q73="","",TEXT(Q73,"M/D")) &amp; " "</f>
        <v xml:space="preserve">    100.00% 전체(장진[50%],이태양[50%]) 9/21-9/28 </v>
      </c>
      <c r="AJ73" s="173"/>
      <c r="AK73" s="173"/>
      <c r="AL73" s="173"/>
      <c r="AM73" s="173"/>
      <c r="AN73" s="173"/>
      <c r="AO73" s="173"/>
      <c r="AP73" s="173"/>
      <c r="AQ73" s="173"/>
      <c r="AR73" s="173"/>
      <c r="AS73" s="173"/>
    </row>
    <row r="74" spans="1:45" ht="12" customHeight="1" outlineLevel="4">
      <c r="A74" s="147"/>
      <c r="B74" s="147"/>
      <c r="C74" s="147">
        <v>5</v>
      </c>
      <c r="D74" s="167" t="s">
        <v>1648</v>
      </c>
      <c r="E74" s="148"/>
      <c r="F74" s="148"/>
      <c r="G74" s="148"/>
      <c r="H74" s="148"/>
      <c r="I74" s="148" t="s">
        <v>1600</v>
      </c>
      <c r="J74" s="148"/>
      <c r="K74" s="148"/>
      <c r="L74" s="148"/>
      <c r="M74" s="148"/>
      <c r="N74" s="220"/>
      <c r="O74" s="148"/>
      <c r="P74" s="149">
        <v>44825</v>
      </c>
      <c r="Q74" s="149">
        <v>44832</v>
      </c>
      <c r="R74" s="148"/>
      <c r="S74" s="150">
        <v>6</v>
      </c>
      <c r="T74" s="150">
        <v>6</v>
      </c>
      <c r="U74" s="150">
        <v>6</v>
      </c>
      <c r="V74" s="150">
        <v>6</v>
      </c>
      <c r="W74" s="149"/>
      <c r="X74" s="149"/>
      <c r="Y74" s="151"/>
      <c r="Z74" s="152">
        <v>0</v>
      </c>
      <c r="AA74" s="150"/>
      <c r="AB74" s="148" t="s">
        <v>1734</v>
      </c>
      <c r="AC74" s="153" t="s">
        <v>1755</v>
      </c>
      <c r="AD74" s="166">
        <v>1</v>
      </c>
      <c r="AE74" s="176">
        <v>1</v>
      </c>
      <c r="AF74" s="172"/>
      <c r="AG74" s="173"/>
      <c r="AH74" s="173"/>
      <c r="AI74" s="173" t="str">
        <f>"    " &amp; TEXT(AE74,"#0.00%") &amp; " " &amp; "귓속말" &amp; "(장진[50%],이태양[50%])" &amp; " " &amp; IF(P74="","",TEXT(P74,"M/D-")) &amp; IF(Q74="","",TEXT(Q74,"M/D")) &amp; " "</f>
        <v xml:space="preserve">    100.00% 귓속말(장진[50%],이태양[50%]) 9/21-9/28 </v>
      </c>
      <c r="AJ74" s="173"/>
      <c r="AK74" s="173"/>
      <c r="AL74" s="173"/>
      <c r="AM74" s="173"/>
      <c r="AN74" s="173"/>
      <c r="AO74" s="173"/>
      <c r="AP74" s="173"/>
      <c r="AQ74" s="173"/>
      <c r="AR74" s="173"/>
      <c r="AS74" s="173"/>
    </row>
    <row r="75" spans="1:45" ht="12" customHeight="1" outlineLevel="3">
      <c r="A75" s="147"/>
      <c r="B75" s="147" t="s">
        <v>1353</v>
      </c>
      <c r="C75" s="147">
        <v>4</v>
      </c>
      <c r="D75" s="167" t="s">
        <v>1649</v>
      </c>
      <c r="E75" s="148"/>
      <c r="F75" s="148"/>
      <c r="G75" s="148"/>
      <c r="H75" s="148" t="s">
        <v>1601</v>
      </c>
      <c r="I75" s="148"/>
      <c r="J75" s="148"/>
      <c r="K75" s="148"/>
      <c r="L75" s="148"/>
      <c r="M75" s="148"/>
      <c r="N75" s="220"/>
      <c r="O75" s="148"/>
      <c r="P75" s="149">
        <v>44825</v>
      </c>
      <c r="Q75" s="149">
        <v>44832</v>
      </c>
      <c r="R75" s="148"/>
      <c r="S75" s="150">
        <v>24</v>
      </c>
      <c r="T75" s="150">
        <v>24</v>
      </c>
      <c r="U75" s="150">
        <v>6</v>
      </c>
      <c r="V75" s="150">
        <v>6</v>
      </c>
      <c r="W75" s="149"/>
      <c r="X75" s="149"/>
      <c r="Y75" s="151">
        <v>0</v>
      </c>
      <c r="Z75" s="152">
        <v>0</v>
      </c>
      <c r="AA75" s="150"/>
      <c r="AB75" s="148"/>
      <c r="AC75" s="153"/>
      <c r="AD75" s="166">
        <v>1</v>
      </c>
      <c r="AE75" s="211">
        <v>1</v>
      </c>
      <c r="AF75" s="172"/>
      <c r="AG75" s="173"/>
      <c r="AH75" s="173"/>
      <c r="AI75" s="173" t="str">
        <f>"    " &amp; TEXT(AE75,"#0.00%") &amp; " " &amp; "질문" &amp; " " &amp; IF(P75="","",TEXT(P75,"M/D-")) &amp; IF(Q75="","",TEXT(Q75,"M/D")) &amp; " "</f>
        <v xml:space="preserve">    100.00% 질문 9/21-9/28 </v>
      </c>
      <c r="AJ75" s="173"/>
      <c r="AK75" s="173"/>
      <c r="AL75" s="173"/>
      <c r="AM75" s="173"/>
      <c r="AN75" s="173"/>
      <c r="AO75" s="173"/>
      <c r="AP75" s="173"/>
      <c r="AQ75" s="173"/>
      <c r="AR75" s="173"/>
      <c r="AS75" s="173"/>
    </row>
    <row r="76" spans="1:45" ht="12" customHeight="1" outlineLevel="4">
      <c r="A76" s="147"/>
      <c r="B76" s="147"/>
      <c r="C76" s="147">
        <v>5</v>
      </c>
      <c r="D76" s="167" t="s">
        <v>1650</v>
      </c>
      <c r="E76" s="148"/>
      <c r="F76" s="148"/>
      <c r="G76" s="148"/>
      <c r="H76" s="148"/>
      <c r="I76" s="148" t="s">
        <v>1602</v>
      </c>
      <c r="J76" s="148"/>
      <c r="K76" s="148"/>
      <c r="L76" s="148"/>
      <c r="M76" s="148"/>
      <c r="N76" s="220"/>
      <c r="O76" s="148"/>
      <c r="P76" s="149">
        <v>44825</v>
      </c>
      <c r="Q76" s="149">
        <v>44832</v>
      </c>
      <c r="R76" s="148"/>
      <c r="S76" s="150">
        <v>6</v>
      </c>
      <c r="T76" s="150">
        <v>6</v>
      </c>
      <c r="U76" s="150">
        <v>6</v>
      </c>
      <c r="V76" s="150">
        <v>6</v>
      </c>
      <c r="W76" s="149"/>
      <c r="X76" s="149"/>
      <c r="Y76" s="151"/>
      <c r="Z76" s="152">
        <v>0</v>
      </c>
      <c r="AA76" s="150"/>
      <c r="AB76" s="148" t="s">
        <v>1734</v>
      </c>
      <c r="AC76" s="153" t="s">
        <v>1755</v>
      </c>
      <c r="AD76" s="166">
        <v>1</v>
      </c>
      <c r="AE76" s="176">
        <v>1</v>
      </c>
      <c r="AF76" s="172"/>
      <c r="AG76" s="173"/>
      <c r="AH76" s="173"/>
      <c r="AI76" s="173" t="str">
        <f>"    " &amp; TEXT(AE76,"#0.00%") &amp; " " &amp; "객관식" &amp; "(장진[50%],이태양[50%])" &amp; " " &amp; IF(P76="","",TEXT(P76,"M/D-")) &amp; IF(Q76="","",TEXT(Q76,"M/D")) &amp; " "</f>
        <v xml:space="preserve">    100.00% 객관식(장진[50%],이태양[50%]) 9/21-9/28 </v>
      </c>
      <c r="AJ76" s="173"/>
      <c r="AK76" s="173"/>
      <c r="AL76" s="173"/>
      <c r="AM76" s="173"/>
      <c r="AN76" s="173"/>
      <c r="AO76" s="173"/>
      <c r="AP76" s="173"/>
      <c r="AQ76" s="173"/>
      <c r="AR76" s="173"/>
      <c r="AS76" s="173"/>
    </row>
    <row r="77" spans="1:45" ht="12" customHeight="1" outlineLevel="4">
      <c r="A77" s="147"/>
      <c r="B77" s="147"/>
      <c r="C77" s="147">
        <v>5</v>
      </c>
      <c r="D77" s="167" t="s">
        <v>1651</v>
      </c>
      <c r="E77" s="148"/>
      <c r="F77" s="148"/>
      <c r="G77" s="148"/>
      <c r="H77" s="148"/>
      <c r="I77" s="148" t="s">
        <v>1716</v>
      </c>
      <c r="J77" s="148"/>
      <c r="K77" s="148"/>
      <c r="L77" s="148"/>
      <c r="M77" s="148"/>
      <c r="N77" s="220"/>
      <c r="O77" s="148"/>
      <c r="P77" s="149">
        <v>44825</v>
      </c>
      <c r="Q77" s="149">
        <v>44832</v>
      </c>
      <c r="R77" s="148"/>
      <c r="S77" s="150">
        <v>6</v>
      </c>
      <c r="T77" s="150">
        <v>6</v>
      </c>
      <c r="U77" s="150">
        <v>6</v>
      </c>
      <c r="V77" s="150">
        <v>6</v>
      </c>
      <c r="W77" s="149"/>
      <c r="X77" s="149"/>
      <c r="Y77" s="151"/>
      <c r="Z77" s="152">
        <v>0</v>
      </c>
      <c r="AA77" s="150"/>
      <c r="AB77" s="148" t="s">
        <v>1734</v>
      </c>
      <c r="AC77" s="153" t="s">
        <v>1755</v>
      </c>
      <c r="AD77" s="166">
        <v>1</v>
      </c>
      <c r="AE77" s="176">
        <v>1</v>
      </c>
      <c r="AF77" s="172"/>
      <c r="AG77" s="173"/>
      <c r="AH77" s="173"/>
      <c r="AI77" s="173" t="str">
        <f>"    " &amp; TEXT(AE77,"#0.00%") &amp; " " &amp; "스피드 게임형" &amp; "(장진[50%],이태양[50%])" &amp; " " &amp; IF(P77="","",TEXT(P77,"M/D-")) &amp; IF(Q77="","",TEXT(Q77,"M/D")) &amp; " "</f>
        <v xml:space="preserve">    100.00% 스피드 게임형(장진[50%],이태양[50%]) 9/21-9/28 </v>
      </c>
      <c r="AJ77" s="173"/>
      <c r="AK77" s="173"/>
      <c r="AL77" s="173"/>
      <c r="AM77" s="173"/>
      <c r="AN77" s="173"/>
      <c r="AO77" s="173"/>
      <c r="AP77" s="173"/>
      <c r="AQ77" s="173"/>
      <c r="AR77" s="173"/>
      <c r="AS77" s="173"/>
    </row>
    <row r="78" spans="1:45" ht="12" customHeight="1" outlineLevel="4">
      <c r="A78" s="147"/>
      <c r="B78" s="147"/>
      <c r="C78" s="147">
        <v>5</v>
      </c>
      <c r="D78" s="167" t="s">
        <v>1652</v>
      </c>
      <c r="E78" s="148"/>
      <c r="F78" s="148"/>
      <c r="G78" s="148"/>
      <c r="H78" s="148"/>
      <c r="I78" s="148" t="s">
        <v>1715</v>
      </c>
      <c r="J78" s="148"/>
      <c r="K78" s="148"/>
      <c r="L78" s="148"/>
      <c r="M78" s="148"/>
      <c r="N78" s="220"/>
      <c r="O78" s="148"/>
      <c r="P78" s="149">
        <v>44825</v>
      </c>
      <c r="Q78" s="149">
        <v>44832</v>
      </c>
      <c r="R78" s="148"/>
      <c r="S78" s="150">
        <v>6</v>
      </c>
      <c r="T78" s="150">
        <v>6</v>
      </c>
      <c r="U78" s="150">
        <v>6</v>
      </c>
      <c r="V78" s="150">
        <v>6</v>
      </c>
      <c r="W78" s="149"/>
      <c r="X78" s="149"/>
      <c r="Y78" s="151"/>
      <c r="Z78" s="152">
        <v>0</v>
      </c>
      <c r="AA78" s="150"/>
      <c r="AB78" s="148" t="s">
        <v>1734</v>
      </c>
      <c r="AC78" s="153" t="s">
        <v>1755</v>
      </c>
      <c r="AD78" s="166">
        <v>1</v>
      </c>
      <c r="AE78" s="176">
        <v>1</v>
      </c>
      <c r="AF78" s="172"/>
      <c r="AG78" s="173"/>
      <c r="AH78" s="173"/>
      <c r="AI78" s="173" t="str">
        <f>"    " &amp; TEXT(AE78,"#0.00%") &amp; " " &amp; "캐릭터 게임형" &amp; "(장진[50%],이태양[50%])" &amp; " " &amp; IF(P78="","",TEXT(P78,"M/D-")) &amp; IF(Q78="","",TEXT(Q78,"M/D")) &amp; " "</f>
        <v xml:space="preserve">    100.00% 캐릭터 게임형(장진[50%],이태양[50%]) 9/21-9/28 </v>
      </c>
      <c r="AJ78" s="173"/>
      <c r="AK78" s="173"/>
      <c r="AL78" s="173"/>
      <c r="AM78" s="173"/>
      <c r="AN78" s="173"/>
      <c r="AO78" s="173"/>
      <c r="AP78" s="173"/>
      <c r="AQ78" s="173"/>
      <c r="AR78" s="173"/>
      <c r="AS78" s="173"/>
    </row>
    <row r="79" spans="1:45" ht="12" customHeight="1" outlineLevel="4">
      <c r="A79" s="147"/>
      <c r="B79" s="147"/>
      <c r="C79" s="147">
        <v>5</v>
      </c>
      <c r="D79" s="167" t="s">
        <v>1724</v>
      </c>
      <c r="E79" s="148"/>
      <c r="F79" s="148"/>
      <c r="G79" s="148"/>
      <c r="H79" s="148"/>
      <c r="I79" s="148" t="s">
        <v>1717</v>
      </c>
      <c r="J79" s="148"/>
      <c r="K79" s="148"/>
      <c r="L79" s="148"/>
      <c r="M79" s="148"/>
      <c r="N79" s="220"/>
      <c r="O79" s="148"/>
      <c r="P79" s="149">
        <v>44825</v>
      </c>
      <c r="Q79" s="149">
        <v>44832</v>
      </c>
      <c r="R79" s="148"/>
      <c r="S79" s="150">
        <v>6</v>
      </c>
      <c r="T79" s="150">
        <v>6</v>
      </c>
      <c r="U79" s="150">
        <v>6</v>
      </c>
      <c r="V79" s="150">
        <v>6</v>
      </c>
      <c r="W79" s="149"/>
      <c r="X79" s="149"/>
      <c r="Y79" s="151"/>
      <c r="Z79" s="152">
        <v>0</v>
      </c>
      <c r="AA79" s="150"/>
      <c r="AB79" s="148" t="s">
        <v>1734</v>
      </c>
      <c r="AC79" s="153" t="s">
        <v>1755</v>
      </c>
      <c r="AD79" s="166">
        <v>1</v>
      </c>
      <c r="AE79" s="176">
        <v>1</v>
      </c>
      <c r="AF79" s="172"/>
      <c r="AG79" s="173"/>
      <c r="AH79" s="173"/>
      <c r="AI79" s="173" t="str">
        <f>"    " &amp; TEXT(AE79,"#0.00%") &amp; " " &amp; "주관식" &amp; "(장진[50%],이태양[50%])" &amp; " " &amp; IF(P79="","",TEXT(P79,"M/D-")) &amp; IF(Q79="","",TEXT(Q79,"M/D")) &amp; " "</f>
        <v xml:space="preserve">    100.00% 주관식(장진[50%],이태양[50%]) 9/21-9/28 </v>
      </c>
      <c r="AJ79" s="173"/>
      <c r="AK79" s="173"/>
      <c r="AL79" s="173"/>
      <c r="AM79" s="173"/>
      <c r="AN79" s="173"/>
      <c r="AO79" s="173"/>
      <c r="AP79" s="173"/>
      <c r="AQ79" s="173"/>
      <c r="AR79" s="173"/>
      <c r="AS79" s="173"/>
    </row>
    <row r="80" spans="1:45" ht="12" customHeight="1" outlineLevel="3">
      <c r="A80" s="147"/>
      <c r="B80" s="147" t="s">
        <v>1353</v>
      </c>
      <c r="C80" s="147">
        <v>4</v>
      </c>
      <c r="D80" s="167" t="s">
        <v>1653</v>
      </c>
      <c r="E80" s="148"/>
      <c r="F80" s="148"/>
      <c r="G80" s="148"/>
      <c r="H80" s="148" t="s">
        <v>1706</v>
      </c>
      <c r="I80" s="148"/>
      <c r="J80" s="148"/>
      <c r="K80" s="148"/>
      <c r="L80" s="148"/>
      <c r="M80" s="148"/>
      <c r="N80" s="220"/>
      <c r="O80" s="148"/>
      <c r="P80" s="149">
        <v>44825</v>
      </c>
      <c r="Q80" s="149">
        <v>44832</v>
      </c>
      <c r="R80" s="148"/>
      <c r="S80" s="150">
        <v>30</v>
      </c>
      <c r="T80" s="150">
        <v>30</v>
      </c>
      <c r="U80" s="150">
        <v>6</v>
      </c>
      <c r="V80" s="150">
        <v>6</v>
      </c>
      <c r="W80" s="149"/>
      <c r="X80" s="149"/>
      <c r="Y80" s="151">
        <v>0</v>
      </c>
      <c r="Z80" s="152">
        <v>0</v>
      </c>
      <c r="AA80" s="150"/>
      <c r="AB80" s="148"/>
      <c r="AC80" s="153"/>
      <c r="AD80" s="166">
        <v>1</v>
      </c>
      <c r="AE80" s="211">
        <v>1</v>
      </c>
      <c r="AF80" s="172"/>
      <c r="AG80" s="173"/>
      <c r="AH80" s="173"/>
      <c r="AI80" s="173" t="str">
        <f>"    " &amp; TEXT(AE80,"#0.00%") &amp; " " &amp; "그림판" &amp; " " &amp; IF(P80="","",TEXT(P80,"M/D-")) &amp; IF(Q80="","",TEXT(Q80,"M/D")) &amp; " "</f>
        <v xml:space="preserve">    100.00% 그림판 9/21-9/28 </v>
      </c>
      <c r="AJ80" s="173"/>
      <c r="AK80" s="173"/>
      <c r="AL80" s="173"/>
      <c r="AM80" s="173"/>
      <c r="AN80" s="173"/>
      <c r="AO80" s="173"/>
      <c r="AP80" s="173"/>
      <c r="AQ80" s="173"/>
      <c r="AR80" s="173"/>
      <c r="AS80" s="173"/>
    </row>
    <row r="81" spans="1:45" ht="12" customHeight="1" outlineLevel="4">
      <c r="A81" s="147" t="s">
        <v>1612</v>
      </c>
      <c r="B81" s="147"/>
      <c r="C81" s="147">
        <v>5</v>
      </c>
      <c r="D81" s="167" t="s">
        <v>1654</v>
      </c>
      <c r="E81" s="148"/>
      <c r="F81" s="148"/>
      <c r="G81" s="148"/>
      <c r="H81" s="148"/>
      <c r="I81" s="148" t="s">
        <v>1604</v>
      </c>
      <c r="J81" s="148"/>
      <c r="K81" s="148"/>
      <c r="L81" s="148"/>
      <c r="M81" s="148"/>
      <c r="N81" s="220"/>
      <c r="O81" s="148"/>
      <c r="P81" s="149">
        <v>44825</v>
      </c>
      <c r="Q81" s="149">
        <v>44832</v>
      </c>
      <c r="R81" s="148"/>
      <c r="S81" s="150">
        <v>6</v>
      </c>
      <c r="T81" s="150">
        <v>6</v>
      </c>
      <c r="U81" s="150">
        <v>6</v>
      </c>
      <c r="V81" s="150">
        <v>6</v>
      </c>
      <c r="W81" s="149"/>
      <c r="X81" s="149"/>
      <c r="Y81" s="151"/>
      <c r="Z81" s="152">
        <v>0</v>
      </c>
      <c r="AA81" s="150"/>
      <c r="AB81" s="148" t="s">
        <v>1734</v>
      </c>
      <c r="AC81" s="153" t="s">
        <v>1755</v>
      </c>
      <c r="AD81" s="166">
        <v>1</v>
      </c>
      <c r="AE81" s="176">
        <v>1</v>
      </c>
      <c r="AF81" s="172"/>
      <c r="AG81" s="173"/>
      <c r="AH81" s="173"/>
      <c r="AI81" s="173" t="str">
        <f>"    " &amp; TEXT(AE81,"#0.00%") &amp; " " &amp; "텍스트" &amp; "(장진[50%],이태양[50%])" &amp; " " &amp; IF(P81="","",TEXT(P81,"M/D-")) &amp; IF(Q81="","",TEXT(Q81,"M/D")) &amp; " "</f>
        <v xml:space="preserve">    100.00% 텍스트(장진[50%],이태양[50%]) 9/21-9/28 </v>
      </c>
      <c r="AJ81" s="173"/>
      <c r="AK81" s="173"/>
      <c r="AL81" s="173"/>
      <c r="AM81" s="173"/>
      <c r="AN81" s="173"/>
      <c r="AO81" s="173"/>
      <c r="AP81" s="173"/>
      <c r="AQ81" s="173"/>
      <c r="AR81" s="173"/>
      <c r="AS81" s="173"/>
    </row>
    <row r="82" spans="1:45" ht="12" customHeight="1" outlineLevel="4">
      <c r="A82" s="147"/>
      <c r="B82" s="147"/>
      <c r="C82" s="147">
        <v>5</v>
      </c>
      <c r="D82" s="167" t="s">
        <v>1655</v>
      </c>
      <c r="E82" s="148"/>
      <c r="F82" s="148"/>
      <c r="G82" s="148"/>
      <c r="H82" s="148"/>
      <c r="I82" s="148" t="s">
        <v>1605</v>
      </c>
      <c r="J82" s="148"/>
      <c r="K82" s="148"/>
      <c r="L82" s="148"/>
      <c r="M82" s="148"/>
      <c r="N82" s="220"/>
      <c r="O82" s="148"/>
      <c r="P82" s="149">
        <v>44825</v>
      </c>
      <c r="Q82" s="149">
        <v>44832</v>
      </c>
      <c r="R82" s="148"/>
      <c r="S82" s="150">
        <v>6</v>
      </c>
      <c r="T82" s="150">
        <v>6</v>
      </c>
      <c r="U82" s="150">
        <v>6</v>
      </c>
      <c r="V82" s="150">
        <v>6</v>
      </c>
      <c r="W82" s="149"/>
      <c r="X82" s="149"/>
      <c r="Y82" s="151"/>
      <c r="Z82" s="152">
        <v>0</v>
      </c>
      <c r="AA82" s="150"/>
      <c r="AB82" s="148" t="s">
        <v>1734</v>
      </c>
      <c r="AC82" s="153" t="s">
        <v>1755</v>
      </c>
      <c r="AD82" s="166">
        <v>1</v>
      </c>
      <c r="AE82" s="176">
        <v>1</v>
      </c>
      <c r="AF82" s="172"/>
      <c r="AG82" s="173"/>
      <c r="AH82" s="173"/>
      <c r="AI82" s="173" t="str">
        <f>"    " &amp; TEXT(AE82,"#0.00%") &amp; " " &amp; "펜" &amp; "(장진[50%],이태양[50%])" &amp; " " &amp; IF(P82="","",TEXT(P82,"M/D-")) &amp; IF(Q82="","",TEXT(Q82,"M/D")) &amp; " "</f>
        <v xml:space="preserve">    100.00% 펜(장진[50%],이태양[50%]) 9/21-9/28 </v>
      </c>
      <c r="AJ82" s="173"/>
      <c r="AK82" s="173"/>
      <c r="AL82" s="173"/>
      <c r="AM82" s="173"/>
      <c r="AN82" s="173"/>
      <c r="AO82" s="173"/>
      <c r="AP82" s="173"/>
      <c r="AQ82" s="173"/>
      <c r="AR82" s="173"/>
      <c r="AS82" s="173"/>
    </row>
    <row r="83" spans="1:45" ht="12" customHeight="1" outlineLevel="4">
      <c r="A83" s="147"/>
      <c r="B83" s="147"/>
      <c r="C83" s="147">
        <v>5</v>
      </c>
      <c r="D83" s="167" t="s">
        <v>1656</v>
      </c>
      <c r="E83" s="148"/>
      <c r="F83" s="148"/>
      <c r="G83" s="148"/>
      <c r="H83" s="148"/>
      <c r="I83" s="148" t="s">
        <v>1606</v>
      </c>
      <c r="J83" s="148"/>
      <c r="K83" s="148"/>
      <c r="L83" s="148"/>
      <c r="M83" s="148"/>
      <c r="N83" s="220"/>
      <c r="O83" s="148"/>
      <c r="P83" s="149">
        <v>44825</v>
      </c>
      <c r="Q83" s="149">
        <v>44832</v>
      </c>
      <c r="R83" s="148"/>
      <c r="S83" s="150">
        <v>6</v>
      </c>
      <c r="T83" s="150">
        <v>6</v>
      </c>
      <c r="U83" s="150">
        <v>6</v>
      </c>
      <c r="V83" s="150">
        <v>6</v>
      </c>
      <c r="W83" s="149"/>
      <c r="X83" s="149"/>
      <c r="Y83" s="151"/>
      <c r="Z83" s="152">
        <v>0</v>
      </c>
      <c r="AA83" s="150"/>
      <c r="AB83" s="148" t="s">
        <v>1734</v>
      </c>
      <c r="AC83" s="153" t="s">
        <v>1755</v>
      </c>
      <c r="AD83" s="166">
        <v>1</v>
      </c>
      <c r="AE83" s="176">
        <v>1</v>
      </c>
      <c r="AF83" s="172"/>
      <c r="AG83" s="173"/>
      <c r="AH83" s="173"/>
      <c r="AI83" s="173" t="str">
        <f>"    " &amp; TEXT(AE83,"#0.00%") &amp; " " &amp; "도형" &amp; "(장진[50%],이태양[50%])" &amp; " " &amp; IF(P83="","",TEXT(P83,"M/D-")) &amp; IF(Q83="","",TEXT(Q83,"M/D")) &amp; " "</f>
        <v xml:space="preserve">    100.00% 도형(장진[50%],이태양[50%]) 9/21-9/28 </v>
      </c>
      <c r="AJ83" s="173"/>
      <c r="AK83" s="173"/>
      <c r="AL83" s="173"/>
      <c r="AM83" s="173"/>
      <c r="AN83" s="173"/>
      <c r="AO83" s="173"/>
      <c r="AP83" s="173"/>
      <c r="AQ83" s="173"/>
      <c r="AR83" s="173"/>
      <c r="AS83" s="173"/>
    </row>
    <row r="84" spans="1:45" ht="12" customHeight="1" outlineLevel="4">
      <c r="A84" s="147"/>
      <c r="B84" s="147"/>
      <c r="C84" s="147">
        <v>5</v>
      </c>
      <c r="D84" s="167" t="s">
        <v>1657</v>
      </c>
      <c r="E84" s="148"/>
      <c r="F84" s="148"/>
      <c r="G84" s="148"/>
      <c r="H84" s="148"/>
      <c r="I84" s="148" t="s">
        <v>1721</v>
      </c>
      <c r="J84" s="148"/>
      <c r="K84" s="148"/>
      <c r="L84" s="148"/>
      <c r="M84" s="148"/>
      <c r="N84" s="220"/>
      <c r="O84" s="148"/>
      <c r="P84" s="149">
        <v>44825</v>
      </c>
      <c r="Q84" s="149">
        <v>44832</v>
      </c>
      <c r="R84" s="148"/>
      <c r="S84" s="150">
        <v>6</v>
      </c>
      <c r="T84" s="150">
        <v>6</v>
      </c>
      <c r="U84" s="150">
        <v>6</v>
      </c>
      <c r="V84" s="150">
        <v>6</v>
      </c>
      <c r="W84" s="149"/>
      <c r="X84" s="149"/>
      <c r="Y84" s="151"/>
      <c r="Z84" s="152">
        <v>0</v>
      </c>
      <c r="AA84" s="150"/>
      <c r="AB84" s="148" t="s">
        <v>1734</v>
      </c>
      <c r="AC84" s="153" t="s">
        <v>1755</v>
      </c>
      <c r="AD84" s="166">
        <v>1</v>
      </c>
      <c r="AE84" s="176">
        <v>1</v>
      </c>
      <c r="AF84" s="172"/>
      <c r="AG84" s="173"/>
      <c r="AH84" s="173"/>
      <c r="AI84" s="173" t="str">
        <f>"    " &amp; TEXT(AE84,"#0.00%") &amp; " " &amp; "지우기/전체지우기" &amp; "(장진[50%],이태양[50%])" &amp; " " &amp; IF(P84="","",TEXT(P84,"M/D-")) &amp; IF(Q84="","",TEXT(Q84,"M/D")) &amp; " "</f>
        <v xml:space="preserve">    100.00% 지우기/전체지우기(장진[50%],이태양[50%]) 9/21-9/28 </v>
      </c>
      <c r="AJ84" s="173"/>
      <c r="AK84" s="173"/>
      <c r="AL84" s="173"/>
      <c r="AM84" s="173"/>
      <c r="AN84" s="173"/>
      <c r="AO84" s="173"/>
      <c r="AP84" s="173"/>
      <c r="AQ84" s="173"/>
      <c r="AR84" s="173"/>
      <c r="AS84" s="173"/>
    </row>
    <row r="85" spans="1:45" ht="12" customHeight="1" outlineLevel="4">
      <c r="A85" s="147"/>
      <c r="B85" s="147"/>
      <c r="C85" s="147">
        <v>5</v>
      </c>
      <c r="D85" s="167" t="s">
        <v>1658</v>
      </c>
      <c r="E85" s="148"/>
      <c r="F85" s="148"/>
      <c r="G85" s="148"/>
      <c r="H85" s="148"/>
      <c r="I85" s="148" t="s">
        <v>1722</v>
      </c>
      <c r="J85" s="148"/>
      <c r="K85" s="148"/>
      <c r="L85" s="148"/>
      <c r="M85" s="148"/>
      <c r="N85" s="220"/>
      <c r="O85" s="148"/>
      <c r="P85" s="149">
        <v>44825</v>
      </c>
      <c r="Q85" s="149">
        <v>44832</v>
      </c>
      <c r="R85" s="148"/>
      <c r="S85" s="150">
        <v>6</v>
      </c>
      <c r="T85" s="150">
        <v>6</v>
      </c>
      <c r="U85" s="150">
        <v>6</v>
      </c>
      <c r="V85" s="150">
        <v>6</v>
      </c>
      <c r="W85" s="149"/>
      <c r="X85" s="149"/>
      <c r="Y85" s="151"/>
      <c r="Z85" s="152">
        <v>0</v>
      </c>
      <c r="AA85" s="150"/>
      <c r="AB85" s="148" t="s">
        <v>1734</v>
      </c>
      <c r="AC85" s="153" t="s">
        <v>1755</v>
      </c>
      <c r="AD85" s="166">
        <v>1</v>
      </c>
      <c r="AE85" s="176">
        <v>1</v>
      </c>
      <c r="AF85" s="172"/>
      <c r="AG85" s="173"/>
      <c r="AH85" s="173"/>
      <c r="AI85" s="173" t="str">
        <f>"    " &amp; TEXT(AE85,"#0.00%") &amp; " " &amp; "레이어 기능" &amp; "(장진[50%],이태양[50%])" &amp; " " &amp; IF(P85="","",TEXT(P85,"M/D-")) &amp; IF(Q85="","",TEXT(Q85,"M/D")) &amp; " "</f>
        <v xml:space="preserve">    100.00% 레이어 기능(장진[50%],이태양[50%]) 9/21-9/28 </v>
      </c>
      <c r="AJ85" s="173"/>
      <c r="AK85" s="173"/>
      <c r="AL85" s="173"/>
      <c r="AM85" s="173"/>
      <c r="AN85" s="173"/>
      <c r="AO85" s="173"/>
      <c r="AP85" s="173"/>
      <c r="AQ85" s="173"/>
      <c r="AR85" s="173"/>
      <c r="AS85" s="173"/>
    </row>
    <row r="86" spans="1:45" ht="12" customHeight="1" outlineLevel="3">
      <c r="A86" s="147"/>
      <c r="B86" s="147" t="s">
        <v>1353</v>
      </c>
      <c r="C86" s="147">
        <v>4</v>
      </c>
      <c r="D86" s="167" t="s">
        <v>1659</v>
      </c>
      <c r="E86" s="148"/>
      <c r="F86" s="148"/>
      <c r="G86" s="148"/>
      <c r="H86" s="148" t="s">
        <v>1607</v>
      </c>
      <c r="I86" s="148"/>
      <c r="J86" s="148"/>
      <c r="K86" s="148"/>
      <c r="L86" s="148"/>
      <c r="M86" s="148"/>
      <c r="N86" s="220"/>
      <c r="O86" s="148"/>
      <c r="P86" s="149">
        <v>44825</v>
      </c>
      <c r="Q86" s="149">
        <v>44832</v>
      </c>
      <c r="R86" s="148"/>
      <c r="S86" s="150">
        <v>18</v>
      </c>
      <c r="T86" s="150">
        <v>18</v>
      </c>
      <c r="U86" s="150">
        <v>6</v>
      </c>
      <c r="V86" s="150">
        <v>6</v>
      </c>
      <c r="W86" s="149"/>
      <c r="X86" s="149"/>
      <c r="Y86" s="151">
        <v>0</v>
      </c>
      <c r="Z86" s="152">
        <v>0</v>
      </c>
      <c r="AA86" s="150"/>
      <c r="AB86" s="148"/>
      <c r="AC86" s="153"/>
      <c r="AD86" s="166">
        <v>1</v>
      </c>
      <c r="AE86" s="211">
        <v>1</v>
      </c>
      <c r="AF86" s="172"/>
      <c r="AG86" s="173"/>
      <c r="AH86" s="173"/>
      <c r="AI86" s="173" t="str">
        <f>"    " &amp; TEXT(AE86,"#0.00%") &amp; " " &amp; "화면 송수신" &amp; " " &amp; IF(P86="","",TEXT(P86,"M/D-")) &amp; IF(Q86="","",TEXT(Q86,"M/D")) &amp; " "</f>
        <v xml:space="preserve">    100.00% 화면 송수신 9/21-9/28 </v>
      </c>
      <c r="AJ86" s="173"/>
      <c r="AK86" s="173"/>
      <c r="AL86" s="173"/>
      <c r="AM86" s="173"/>
      <c r="AN86" s="173"/>
      <c r="AO86" s="173"/>
      <c r="AP86" s="173"/>
      <c r="AQ86" s="173"/>
      <c r="AR86" s="173"/>
      <c r="AS86" s="173"/>
    </row>
    <row r="87" spans="1:45" ht="12" customHeight="1" outlineLevel="4">
      <c r="A87" s="147"/>
      <c r="B87" s="147"/>
      <c r="C87" s="147">
        <v>5</v>
      </c>
      <c r="D87" s="167" t="s">
        <v>1660</v>
      </c>
      <c r="E87" s="148"/>
      <c r="F87" s="148"/>
      <c r="G87" s="148"/>
      <c r="H87" s="148"/>
      <c r="I87" s="148" t="s">
        <v>1610</v>
      </c>
      <c r="J87" s="148"/>
      <c r="K87" s="148"/>
      <c r="L87" s="148"/>
      <c r="M87" s="148"/>
      <c r="N87" s="220"/>
      <c r="O87" s="148"/>
      <c r="P87" s="149">
        <v>44825</v>
      </c>
      <c r="Q87" s="149">
        <v>44832</v>
      </c>
      <c r="R87" s="148"/>
      <c r="S87" s="150">
        <v>6</v>
      </c>
      <c r="T87" s="150">
        <v>6</v>
      </c>
      <c r="U87" s="150">
        <v>6</v>
      </c>
      <c r="V87" s="150">
        <v>6</v>
      </c>
      <c r="W87" s="149"/>
      <c r="X87" s="149"/>
      <c r="Y87" s="151"/>
      <c r="Z87" s="152">
        <v>0</v>
      </c>
      <c r="AA87" s="150"/>
      <c r="AB87" s="148" t="s">
        <v>1734</v>
      </c>
      <c r="AC87" s="153" t="s">
        <v>1755</v>
      </c>
      <c r="AD87" s="166">
        <v>1</v>
      </c>
      <c r="AE87" s="176">
        <v>1</v>
      </c>
      <c r="AF87" s="172"/>
      <c r="AG87" s="173"/>
      <c r="AH87" s="173"/>
      <c r="AI87" s="173" t="str">
        <f>"    " &amp; TEXT(AE87,"#0.00%") &amp; " " &amp; "서버 송신" &amp; "(장진[50%],이태양[50%])" &amp; " " &amp; IF(P87="","",TEXT(P87,"M/D-")) &amp; IF(Q87="","",TEXT(Q87,"M/D")) &amp; " "</f>
        <v xml:space="preserve">    100.00% 서버 송신(장진[50%],이태양[50%]) 9/21-9/28 </v>
      </c>
      <c r="AJ87" s="173"/>
      <c r="AK87" s="173"/>
      <c r="AL87" s="173"/>
      <c r="AM87" s="173"/>
      <c r="AN87" s="173"/>
      <c r="AO87" s="173"/>
      <c r="AP87" s="173"/>
      <c r="AQ87" s="173"/>
      <c r="AR87" s="173"/>
      <c r="AS87" s="173"/>
    </row>
    <row r="88" spans="1:45" ht="12" customHeight="1" outlineLevel="4">
      <c r="A88" s="147"/>
      <c r="B88" s="147"/>
      <c r="C88" s="147">
        <v>5</v>
      </c>
      <c r="D88" s="167" t="s">
        <v>1661</v>
      </c>
      <c r="E88" s="148"/>
      <c r="F88" s="148"/>
      <c r="G88" s="148"/>
      <c r="H88" s="148"/>
      <c r="I88" s="148" t="s">
        <v>1611</v>
      </c>
      <c r="J88" s="148"/>
      <c r="K88" s="148"/>
      <c r="L88" s="148"/>
      <c r="M88" s="148"/>
      <c r="N88" s="220"/>
      <c r="O88" s="148"/>
      <c r="P88" s="149">
        <v>44825</v>
      </c>
      <c r="Q88" s="149">
        <v>44832</v>
      </c>
      <c r="R88" s="148"/>
      <c r="S88" s="150">
        <v>6</v>
      </c>
      <c r="T88" s="150">
        <v>6</v>
      </c>
      <c r="U88" s="150">
        <v>6</v>
      </c>
      <c r="V88" s="150">
        <v>6</v>
      </c>
      <c r="W88" s="149"/>
      <c r="X88" s="149"/>
      <c r="Y88" s="151"/>
      <c r="Z88" s="152">
        <v>0</v>
      </c>
      <c r="AA88" s="150"/>
      <c r="AB88" s="148" t="s">
        <v>1734</v>
      </c>
      <c r="AC88" s="153" t="s">
        <v>1755</v>
      </c>
      <c r="AD88" s="166">
        <v>1</v>
      </c>
      <c r="AE88" s="176">
        <v>1</v>
      </c>
      <c r="AF88" s="172"/>
      <c r="AG88" s="173"/>
      <c r="AH88" s="173"/>
      <c r="AI88" s="173" t="str">
        <f>"    " &amp; TEXT(AE88,"#0.00%") &amp; " " &amp; "클라이언트 수신" &amp; "(장진[50%],이태양[50%])" &amp; " " &amp; IF(P88="","",TEXT(P88,"M/D-")) &amp; IF(Q88="","",TEXT(Q88,"M/D")) &amp; " "</f>
        <v xml:space="preserve">    100.00% 클라이언트 수신(장진[50%],이태양[50%]) 9/21-9/28 </v>
      </c>
      <c r="AJ88" s="173"/>
      <c r="AK88" s="173"/>
      <c r="AL88" s="173"/>
      <c r="AM88" s="173"/>
      <c r="AN88" s="173"/>
      <c r="AO88" s="173"/>
      <c r="AP88" s="173"/>
      <c r="AQ88" s="173"/>
      <c r="AR88" s="173"/>
      <c r="AS88" s="173"/>
    </row>
    <row r="89" spans="1:45" ht="12" customHeight="1" outlineLevel="4">
      <c r="A89" s="147"/>
      <c r="B89" s="147"/>
      <c r="C89" s="147">
        <v>5</v>
      </c>
      <c r="D89" s="167" t="s">
        <v>1726</v>
      </c>
      <c r="E89" s="148"/>
      <c r="F89" s="148"/>
      <c r="G89" s="148"/>
      <c r="H89" s="148"/>
      <c r="I89" s="148" t="s">
        <v>1725</v>
      </c>
      <c r="J89" s="148"/>
      <c r="K89" s="148"/>
      <c r="L89" s="148"/>
      <c r="M89" s="148"/>
      <c r="N89" s="220"/>
      <c r="O89" s="148"/>
      <c r="P89" s="149">
        <v>44825</v>
      </c>
      <c r="Q89" s="149">
        <v>44832</v>
      </c>
      <c r="R89" s="148"/>
      <c r="S89" s="150">
        <v>6</v>
      </c>
      <c r="T89" s="150">
        <v>6</v>
      </c>
      <c r="U89" s="150">
        <v>6</v>
      </c>
      <c r="V89" s="150">
        <v>6</v>
      </c>
      <c r="W89" s="149"/>
      <c r="X89" s="149"/>
      <c r="Y89" s="151"/>
      <c r="Z89" s="152">
        <v>0</v>
      </c>
      <c r="AA89" s="150"/>
      <c r="AB89" s="148" t="s">
        <v>1734</v>
      </c>
      <c r="AC89" s="153" t="s">
        <v>1755</v>
      </c>
      <c r="AD89" s="166">
        <v>1</v>
      </c>
      <c r="AE89" s="176">
        <v>1</v>
      </c>
      <c r="AF89" s="172"/>
      <c r="AG89" s="173"/>
      <c r="AH89" s="173"/>
      <c r="AI89" s="173" t="str">
        <f>"    " &amp; TEXT(AE89,"#0.00%") &amp; " " &amp; "클라이언트 화면 리스트" &amp; "(장진[50%],이태양[50%])" &amp; " " &amp; IF(P89="","",TEXT(P89,"M/D-")) &amp; IF(Q89="","",TEXT(Q89,"M/D")) &amp; " "</f>
        <v xml:space="preserve">    100.00% 클라이언트 화면 리스트(장진[50%],이태양[50%]) 9/21-9/28 </v>
      </c>
      <c r="AJ89" s="173"/>
      <c r="AK89" s="173"/>
      <c r="AL89" s="173"/>
      <c r="AM89" s="173"/>
      <c r="AN89" s="173"/>
      <c r="AO89" s="173"/>
      <c r="AP89" s="173"/>
      <c r="AQ89" s="173"/>
      <c r="AR89" s="173"/>
      <c r="AS89" s="173"/>
    </row>
    <row r="90" spans="1:45" ht="12" customHeight="1">
      <c r="A90" s="147" t="s">
        <v>1612</v>
      </c>
      <c r="B90" s="147" t="s">
        <v>1353</v>
      </c>
      <c r="C90" s="147">
        <v>1</v>
      </c>
      <c r="D90" s="167" t="s">
        <v>1533</v>
      </c>
      <c r="E90" s="148" t="s">
        <v>1756</v>
      </c>
      <c r="F90" s="148"/>
      <c r="G90" s="148"/>
      <c r="H90" s="148"/>
      <c r="I90" s="148"/>
      <c r="J90" s="148"/>
      <c r="K90" s="148"/>
      <c r="L90" s="148"/>
      <c r="M90" s="148"/>
      <c r="N90" s="220"/>
      <c r="O90" s="148"/>
      <c r="P90" s="149">
        <v>44825</v>
      </c>
      <c r="Q90" s="149">
        <v>44886</v>
      </c>
      <c r="R90" s="148"/>
      <c r="S90" s="150">
        <v>1196</v>
      </c>
      <c r="T90" s="150">
        <v>1196</v>
      </c>
      <c r="U90" s="150">
        <v>42</v>
      </c>
      <c r="V90" s="150">
        <v>42</v>
      </c>
      <c r="W90" s="149"/>
      <c r="X90" s="149"/>
      <c r="Y90" s="151">
        <v>0</v>
      </c>
      <c r="Z90" s="152">
        <v>0</v>
      </c>
      <c r="AA90" s="150"/>
      <c r="AB90" s="148"/>
      <c r="AC90" s="153"/>
      <c r="AD90" s="166">
        <v>1</v>
      </c>
      <c r="AE90" s="211">
        <v>1</v>
      </c>
      <c r="AF90" s="172"/>
      <c r="AG90" s="173"/>
      <c r="AH90" s="173"/>
      <c r="AI90" s="173"/>
      <c r="AJ90" s="173"/>
      <c r="AK90" s="173"/>
      <c r="AL90" s="173"/>
      <c r="AM90" s="173"/>
      <c r="AN90" s="173"/>
      <c r="AO90" s="173"/>
      <c r="AP90" s="173"/>
      <c r="AQ90" s="173" t="str">
        <f>"  " &amp; TEXT(AE90,"#0.00%") &amp; " " &amp; "모듈구현" &amp; " " &amp; IF(P90="","",TEXT(P90,"M/D-")) &amp; IF(Q90="","",TEXT(Q90,"M/D")) &amp; " "</f>
        <v xml:space="preserve">  100.00% 모듈구현 9/21-11/21 </v>
      </c>
      <c r="AR90" s="173"/>
      <c r="AS90" s="173"/>
    </row>
    <row r="91" spans="1:45" ht="12" customHeight="1" outlineLevel="1">
      <c r="A91" s="147"/>
      <c r="B91" s="147"/>
      <c r="C91" s="147">
        <v>2</v>
      </c>
      <c r="D91" s="167" t="s">
        <v>1662</v>
      </c>
      <c r="E91" s="148"/>
      <c r="F91" s="148" t="s">
        <v>1559</v>
      </c>
      <c r="G91" s="148"/>
      <c r="H91" s="148"/>
      <c r="I91" s="148"/>
      <c r="J91" s="148"/>
      <c r="K91" s="148"/>
      <c r="L91" s="148"/>
      <c r="M91" s="148"/>
      <c r="N91" s="220"/>
      <c r="O91" s="148"/>
      <c r="P91" s="149">
        <v>44825</v>
      </c>
      <c r="Q91" s="149">
        <v>44839</v>
      </c>
      <c r="R91" s="148"/>
      <c r="S91" s="150">
        <v>20</v>
      </c>
      <c r="T91" s="150">
        <v>20</v>
      </c>
      <c r="U91" s="150">
        <v>10</v>
      </c>
      <c r="V91" s="150">
        <v>10</v>
      </c>
      <c r="W91" s="149"/>
      <c r="X91" s="149"/>
      <c r="Y91" s="151"/>
      <c r="Z91" s="152">
        <v>0</v>
      </c>
      <c r="AA91" s="150"/>
      <c r="AB91" s="148" t="s">
        <v>1843</v>
      </c>
      <c r="AC91" s="153"/>
      <c r="AD91" s="166">
        <v>1</v>
      </c>
      <c r="AE91" s="176">
        <v>1</v>
      </c>
      <c r="AF91" s="172"/>
      <c r="AG91" s="173"/>
      <c r="AH91" s="173"/>
      <c r="AI91" s="173"/>
      <c r="AJ91" s="173" t="str">
        <f>"    " &amp; TEXT(AE91,"#0.00%") &amp; " " &amp; "구현 계획 수립" &amp; "(유영주[50%],이무현[50%],이태양[50%],편성윤[50%])" &amp; " " &amp; IF(P91="","",TEXT(P91,"M/D-")) &amp; IF(Q91="","",TEXT(Q91,"M/D")) &amp; " "</f>
        <v xml:space="preserve">    100.00% 구현 계획 수립(유영주[50%],이무현[50%],이태양[50%],편성윤[50%]) 9/21-10/5 </v>
      </c>
      <c r="AK91" s="173"/>
      <c r="AL91" s="173"/>
      <c r="AM91" s="173"/>
      <c r="AN91" s="173"/>
      <c r="AO91" s="173"/>
      <c r="AP91" s="173"/>
      <c r="AQ91" s="173"/>
      <c r="AR91" s="173"/>
      <c r="AS91" s="173"/>
    </row>
    <row r="92" spans="1:45" ht="12" customHeight="1" outlineLevel="1">
      <c r="A92" s="147"/>
      <c r="B92" s="147" t="s">
        <v>1353</v>
      </c>
      <c r="C92" s="147">
        <v>2</v>
      </c>
      <c r="D92" s="167" t="s">
        <v>1663</v>
      </c>
      <c r="E92" s="148"/>
      <c r="F92" s="148" t="s">
        <v>1550</v>
      </c>
      <c r="G92" s="148"/>
      <c r="H92" s="148"/>
      <c r="I92" s="148"/>
      <c r="J92" s="148"/>
      <c r="K92" s="220"/>
      <c r="L92" s="148"/>
      <c r="M92" s="148"/>
      <c r="N92" s="220"/>
      <c r="O92" s="148"/>
      <c r="P92" s="149">
        <v>44846</v>
      </c>
      <c r="Q92" s="149">
        <v>44886</v>
      </c>
      <c r="R92" s="148"/>
      <c r="S92" s="150">
        <v>116</v>
      </c>
      <c r="T92" s="150">
        <v>116</v>
      </c>
      <c r="U92" s="150">
        <v>29</v>
      </c>
      <c r="V92" s="150">
        <v>29</v>
      </c>
      <c r="W92" s="149"/>
      <c r="X92" s="149"/>
      <c r="Y92" s="151">
        <v>0</v>
      </c>
      <c r="Z92" s="152">
        <v>0</v>
      </c>
      <c r="AA92" s="150"/>
      <c r="AB92" s="148"/>
      <c r="AC92" s="153"/>
      <c r="AD92" s="166">
        <v>1</v>
      </c>
      <c r="AE92" s="211">
        <v>1</v>
      </c>
      <c r="AF92" s="172"/>
      <c r="AG92" s="173"/>
      <c r="AH92" s="173"/>
      <c r="AI92" s="173"/>
      <c r="AJ92" s="173"/>
      <c r="AK92" s="173"/>
      <c r="AL92" s="173"/>
      <c r="AM92" s="173"/>
      <c r="AN92" s="173"/>
      <c r="AO92" s="173"/>
      <c r="AP92" s="173"/>
      <c r="AQ92" s="173" t="str">
        <f>"  " &amp; TEXT(AE92,"#0.00%") &amp; " " &amp; "네트워크" &amp; " " &amp; IF(P92="","",TEXT(P92,"M/D-")) &amp; IF(Q92="","",TEXT(Q92,"M/D")) &amp; " "</f>
        <v xml:space="preserve">  100.00% 네트워크 10/12-11/21 </v>
      </c>
      <c r="AR92" s="173"/>
      <c r="AS92" s="173"/>
    </row>
    <row r="93" spans="1:45" ht="12" customHeight="1" outlineLevel="2">
      <c r="A93" s="147"/>
      <c r="B93" s="147"/>
      <c r="C93" s="147">
        <v>3</v>
      </c>
      <c r="D93" s="167" t="s">
        <v>1664</v>
      </c>
      <c r="E93" s="148"/>
      <c r="F93" s="148"/>
      <c r="G93" s="148" t="s">
        <v>1598</v>
      </c>
      <c r="H93" s="148"/>
      <c r="I93" s="148"/>
      <c r="J93" s="148"/>
      <c r="K93" s="220"/>
      <c r="L93" s="148"/>
      <c r="M93" s="148"/>
      <c r="N93" s="220"/>
      <c r="O93" s="148"/>
      <c r="P93" s="149">
        <v>44846</v>
      </c>
      <c r="Q93" s="149">
        <v>44886</v>
      </c>
      <c r="R93" s="148"/>
      <c r="S93" s="150">
        <v>29</v>
      </c>
      <c r="T93" s="150">
        <v>29</v>
      </c>
      <c r="U93" s="150">
        <v>29</v>
      </c>
      <c r="V93" s="150">
        <v>29</v>
      </c>
      <c r="W93" s="149"/>
      <c r="X93" s="149"/>
      <c r="Y93" s="151"/>
      <c r="Z93" s="152">
        <v>0</v>
      </c>
      <c r="AA93" s="150"/>
      <c r="AB93" s="148" t="s">
        <v>1568</v>
      </c>
      <c r="AC93" s="153"/>
      <c r="AD93" s="166">
        <v>1</v>
      </c>
      <c r="AE93" s="176">
        <v>1</v>
      </c>
      <c r="AF93" s="172"/>
      <c r="AG93" s="173"/>
      <c r="AH93" s="173"/>
      <c r="AI93" s="173"/>
      <c r="AJ93" s="173"/>
      <c r="AK93" s="173"/>
      <c r="AL93" s="173"/>
      <c r="AM93" s="173"/>
      <c r="AN93" s="173"/>
      <c r="AO93" s="173"/>
      <c r="AP93" s="173"/>
      <c r="AQ93" s="173" t="str">
        <f>"  " &amp; TEXT(AE93,"#0.00%") &amp; " " &amp; "채팅" &amp; "(이무현)" &amp; " " &amp; IF(P93="","",TEXT(P93,"M/D-")) &amp; IF(Q93="","",TEXT(Q93,"M/D")) &amp; " "</f>
        <v xml:space="preserve">  100.00% 채팅(이무현) 10/12-11/21 </v>
      </c>
      <c r="AR93" s="173"/>
      <c r="AS93" s="173"/>
    </row>
    <row r="94" spans="1:45" ht="12" customHeight="1" outlineLevel="2">
      <c r="A94" s="147"/>
      <c r="B94" s="147"/>
      <c r="C94" s="147">
        <v>3</v>
      </c>
      <c r="D94" s="167" t="s">
        <v>1665</v>
      </c>
      <c r="E94" s="148"/>
      <c r="F94" s="148"/>
      <c r="G94" s="148" t="s">
        <v>1601</v>
      </c>
      <c r="H94" s="148"/>
      <c r="I94" s="148"/>
      <c r="J94" s="148"/>
      <c r="K94" s="220"/>
      <c r="L94" s="148"/>
      <c r="M94" s="148"/>
      <c r="N94" s="220"/>
      <c r="O94" s="148"/>
      <c r="P94" s="149">
        <v>44846</v>
      </c>
      <c r="Q94" s="149">
        <v>44886</v>
      </c>
      <c r="R94" s="148"/>
      <c r="S94" s="150">
        <v>29</v>
      </c>
      <c r="T94" s="150">
        <v>29</v>
      </c>
      <c r="U94" s="150">
        <v>29</v>
      </c>
      <c r="V94" s="150">
        <v>29</v>
      </c>
      <c r="W94" s="149"/>
      <c r="X94" s="149"/>
      <c r="Y94" s="151"/>
      <c r="Z94" s="152">
        <v>0</v>
      </c>
      <c r="AA94" s="150"/>
      <c r="AB94" s="148" t="s">
        <v>1568</v>
      </c>
      <c r="AC94" s="153"/>
      <c r="AD94" s="166">
        <v>1</v>
      </c>
      <c r="AE94" s="176">
        <v>1</v>
      </c>
      <c r="AF94" s="172"/>
      <c r="AG94" s="173"/>
      <c r="AH94" s="173"/>
      <c r="AI94" s="173"/>
      <c r="AJ94" s="173"/>
      <c r="AK94" s="173"/>
      <c r="AL94" s="173"/>
      <c r="AM94" s="173"/>
      <c r="AN94" s="173"/>
      <c r="AO94" s="173"/>
      <c r="AP94" s="173"/>
      <c r="AQ94" s="173" t="str">
        <f>"  " &amp; TEXT(AE94,"#0.00%") &amp; " " &amp; "질문" &amp; "(이무현)" &amp; " " &amp; IF(P94="","",TEXT(P94,"M/D-")) &amp; IF(Q94="","",TEXT(Q94,"M/D")) &amp; " "</f>
        <v xml:space="preserve">  100.00% 질문(이무현) 10/12-11/21 </v>
      </c>
      <c r="AR94" s="173"/>
      <c r="AS94" s="173"/>
    </row>
    <row r="95" spans="1:45" ht="12" customHeight="1" outlineLevel="2">
      <c r="A95" s="147"/>
      <c r="B95" s="147"/>
      <c r="C95" s="147">
        <v>3</v>
      </c>
      <c r="D95" s="167" t="s">
        <v>1666</v>
      </c>
      <c r="E95" s="148"/>
      <c r="F95" s="148"/>
      <c r="G95" s="148" t="s">
        <v>1603</v>
      </c>
      <c r="H95" s="148"/>
      <c r="I95" s="148"/>
      <c r="J95" s="148"/>
      <c r="K95" s="220"/>
      <c r="L95" s="148"/>
      <c r="M95" s="148"/>
      <c r="N95" s="220"/>
      <c r="O95" s="148"/>
      <c r="P95" s="149">
        <v>44846</v>
      </c>
      <c r="Q95" s="149">
        <v>44886</v>
      </c>
      <c r="R95" s="148"/>
      <c r="S95" s="150">
        <v>29</v>
      </c>
      <c r="T95" s="150">
        <v>29</v>
      </c>
      <c r="U95" s="150">
        <v>29</v>
      </c>
      <c r="V95" s="150">
        <v>29</v>
      </c>
      <c r="W95" s="149"/>
      <c r="X95" s="149"/>
      <c r="Y95" s="151"/>
      <c r="Z95" s="152">
        <v>0</v>
      </c>
      <c r="AA95" s="150"/>
      <c r="AB95" s="148" t="s">
        <v>1568</v>
      </c>
      <c r="AC95" s="153"/>
      <c r="AD95" s="166">
        <v>1</v>
      </c>
      <c r="AE95" s="176">
        <v>1</v>
      </c>
      <c r="AF95" s="172"/>
      <c r="AG95" s="173"/>
      <c r="AH95" s="173"/>
      <c r="AI95" s="173"/>
      <c r="AJ95" s="173"/>
      <c r="AK95" s="173"/>
      <c r="AL95" s="173"/>
      <c r="AM95" s="173"/>
      <c r="AN95" s="173"/>
      <c r="AO95" s="173"/>
      <c r="AP95" s="173"/>
      <c r="AQ95" s="173" t="str">
        <f>"  " &amp; TEXT(AE95,"#0.00%") &amp; " " &amp; "공유 그림판" &amp; "(이무현)" &amp; " " &amp; IF(P95="","",TEXT(P95,"M/D-")) &amp; IF(Q95="","",TEXT(Q95,"M/D")) &amp; " "</f>
        <v xml:space="preserve">  100.00% 공유 그림판(이무현) 10/12-11/21 </v>
      </c>
      <c r="AR95" s="173"/>
      <c r="AS95" s="173"/>
    </row>
    <row r="96" spans="1:45" ht="12" customHeight="1" outlineLevel="2">
      <c r="A96" s="147"/>
      <c r="B96" s="147"/>
      <c r="C96" s="147">
        <v>3</v>
      </c>
      <c r="D96" s="167" t="s">
        <v>1667</v>
      </c>
      <c r="E96" s="148"/>
      <c r="F96" s="148"/>
      <c r="G96" s="148" t="s">
        <v>1607</v>
      </c>
      <c r="H96" s="148"/>
      <c r="I96" s="148"/>
      <c r="J96" s="148"/>
      <c r="K96" s="220"/>
      <c r="L96" s="148"/>
      <c r="M96" s="148"/>
      <c r="N96" s="220"/>
      <c r="O96" s="148"/>
      <c r="P96" s="149">
        <v>44846</v>
      </c>
      <c r="Q96" s="149">
        <v>44886</v>
      </c>
      <c r="R96" s="148"/>
      <c r="S96" s="150">
        <v>29</v>
      </c>
      <c r="T96" s="150">
        <v>29</v>
      </c>
      <c r="U96" s="150">
        <v>29</v>
      </c>
      <c r="V96" s="150">
        <v>29</v>
      </c>
      <c r="W96" s="149"/>
      <c r="X96" s="149"/>
      <c r="Y96" s="151"/>
      <c r="Z96" s="152">
        <v>0</v>
      </c>
      <c r="AA96" s="150"/>
      <c r="AB96" s="148" t="s">
        <v>1568</v>
      </c>
      <c r="AC96" s="153"/>
      <c r="AD96" s="166">
        <v>1</v>
      </c>
      <c r="AE96" s="176">
        <v>1</v>
      </c>
      <c r="AF96" s="172"/>
      <c r="AG96" s="173"/>
      <c r="AH96" s="173"/>
      <c r="AI96" s="173"/>
      <c r="AJ96" s="173"/>
      <c r="AK96" s="173"/>
      <c r="AL96" s="173"/>
      <c r="AM96" s="173"/>
      <c r="AN96" s="173"/>
      <c r="AO96" s="173"/>
      <c r="AP96" s="173"/>
      <c r="AQ96" s="173" t="str">
        <f>"  " &amp; TEXT(AE96,"#0.00%") &amp; " " &amp; "화면 송수신" &amp; "(이무현)" &amp; " " &amp; IF(P96="","",TEXT(P96,"M/D-")) &amp; IF(Q96="","",TEXT(Q96,"M/D")) &amp; " "</f>
        <v xml:space="preserve">  100.00% 화면 송수신(이무현) 10/12-11/21 </v>
      </c>
      <c r="AR96" s="173"/>
      <c r="AS96" s="173"/>
    </row>
    <row r="97" spans="1:45" ht="12" customHeight="1" outlineLevel="1">
      <c r="A97" s="147"/>
      <c r="B97" s="147" t="s">
        <v>1353</v>
      </c>
      <c r="C97" s="147">
        <v>2</v>
      </c>
      <c r="D97" s="167" t="s">
        <v>1668</v>
      </c>
      <c r="E97" s="148"/>
      <c r="F97" s="148" t="s">
        <v>1552</v>
      </c>
      <c r="G97" s="148"/>
      <c r="H97" s="148"/>
      <c r="I97" s="148"/>
      <c r="J97" s="148"/>
      <c r="K97" s="220"/>
      <c r="L97" s="148"/>
      <c r="M97" s="148"/>
      <c r="N97" s="220"/>
      <c r="O97" s="148"/>
      <c r="P97" s="149">
        <v>44846</v>
      </c>
      <c r="Q97" s="149">
        <v>44886</v>
      </c>
      <c r="R97" s="148"/>
      <c r="S97" s="150">
        <v>638</v>
      </c>
      <c r="T97" s="150">
        <v>638</v>
      </c>
      <c r="U97" s="150">
        <v>29</v>
      </c>
      <c r="V97" s="150">
        <v>29</v>
      </c>
      <c r="W97" s="149"/>
      <c r="X97" s="149"/>
      <c r="Y97" s="151">
        <v>0</v>
      </c>
      <c r="Z97" s="152">
        <v>0</v>
      </c>
      <c r="AA97" s="150"/>
      <c r="AB97" s="148"/>
      <c r="AC97" s="153"/>
      <c r="AD97" s="166">
        <v>1</v>
      </c>
      <c r="AE97" s="211">
        <v>1</v>
      </c>
      <c r="AF97" s="172"/>
      <c r="AG97" s="173"/>
      <c r="AH97" s="173"/>
      <c r="AI97" s="173"/>
      <c r="AJ97" s="173"/>
      <c r="AK97" s="173"/>
      <c r="AL97" s="173"/>
      <c r="AM97" s="173"/>
      <c r="AN97" s="173"/>
      <c r="AO97" s="173"/>
      <c r="AP97" s="173"/>
      <c r="AQ97" s="173" t="str">
        <f>"  " &amp; TEXT(AE97,"#0.00%") &amp; " " &amp; "클라이언트" &amp; " " &amp; IF(P97="","",TEXT(P97,"M/D-")) &amp; IF(Q97="","",TEXT(Q97,"M/D")) &amp; " "</f>
        <v xml:space="preserve">  100.00% 클라이언트 10/12-11/21 </v>
      </c>
      <c r="AR97" s="173"/>
      <c r="AS97" s="173"/>
    </row>
    <row r="98" spans="1:45" ht="12" customHeight="1" outlineLevel="2">
      <c r="A98" s="147"/>
      <c r="B98" s="147" t="s">
        <v>1353</v>
      </c>
      <c r="C98" s="147">
        <v>3</v>
      </c>
      <c r="D98" s="167" t="s">
        <v>1669</v>
      </c>
      <c r="E98" s="148"/>
      <c r="F98" s="148"/>
      <c r="G98" s="148" t="s">
        <v>1598</v>
      </c>
      <c r="H98" s="148"/>
      <c r="I98" s="148"/>
      <c r="J98" s="148"/>
      <c r="K98" s="220"/>
      <c r="L98" s="148"/>
      <c r="M98" s="148"/>
      <c r="N98" s="220"/>
      <c r="O98" s="148"/>
      <c r="P98" s="149">
        <v>44846</v>
      </c>
      <c r="Q98" s="149">
        <v>44886</v>
      </c>
      <c r="R98" s="148"/>
      <c r="S98" s="150">
        <v>58</v>
      </c>
      <c r="T98" s="150">
        <v>58</v>
      </c>
      <c r="U98" s="150">
        <v>29</v>
      </c>
      <c r="V98" s="150">
        <v>29</v>
      </c>
      <c r="W98" s="149"/>
      <c r="X98" s="149"/>
      <c r="Y98" s="151">
        <v>0</v>
      </c>
      <c r="Z98" s="152">
        <v>0</v>
      </c>
      <c r="AA98" s="150"/>
      <c r="AB98" s="148"/>
      <c r="AC98" s="153"/>
      <c r="AD98" s="166">
        <v>1</v>
      </c>
      <c r="AE98" s="211">
        <v>1</v>
      </c>
      <c r="AF98" s="172"/>
      <c r="AG98" s="173"/>
      <c r="AH98" s="173"/>
      <c r="AI98" s="173"/>
      <c r="AJ98" s="173"/>
      <c r="AK98" s="173"/>
      <c r="AL98" s="173"/>
      <c r="AM98" s="173"/>
      <c r="AN98" s="173"/>
      <c r="AO98" s="173"/>
      <c r="AP98" s="173"/>
      <c r="AQ98" s="173" t="str">
        <f>"  " &amp; TEXT(AE98,"#0.00%") &amp; " " &amp; "채팅" &amp; " " &amp; IF(P98="","",TEXT(P98,"M/D-")) &amp; IF(Q98="","",TEXT(Q98,"M/D")) &amp; " "</f>
        <v xml:space="preserve">  100.00% 채팅 10/12-11/21 </v>
      </c>
      <c r="AR98" s="173"/>
      <c r="AS98" s="173"/>
    </row>
    <row r="99" spans="1:45" ht="12" customHeight="1" outlineLevel="3">
      <c r="A99" s="147"/>
      <c r="B99" s="147"/>
      <c r="C99" s="147">
        <v>4</v>
      </c>
      <c r="D99" s="167" t="s">
        <v>1670</v>
      </c>
      <c r="E99" s="148"/>
      <c r="F99" s="148"/>
      <c r="G99" s="148"/>
      <c r="H99" s="148" t="s">
        <v>1599</v>
      </c>
      <c r="I99" s="148"/>
      <c r="J99" s="148"/>
      <c r="K99" s="220"/>
      <c r="L99" s="148"/>
      <c r="M99" s="148"/>
      <c r="N99" s="220"/>
      <c r="O99" s="148"/>
      <c r="P99" s="149">
        <v>44846</v>
      </c>
      <c r="Q99" s="149">
        <v>44886</v>
      </c>
      <c r="R99" s="148"/>
      <c r="S99" s="150">
        <v>29</v>
      </c>
      <c r="T99" s="150">
        <v>29</v>
      </c>
      <c r="U99" s="150">
        <v>29</v>
      </c>
      <c r="V99" s="150">
        <v>29</v>
      </c>
      <c r="W99" s="149"/>
      <c r="X99" s="149"/>
      <c r="Y99" s="151"/>
      <c r="Z99" s="152">
        <v>0</v>
      </c>
      <c r="AA99" s="150"/>
      <c r="AB99" s="148" t="s">
        <v>1571</v>
      </c>
      <c r="AC99" s="153"/>
      <c r="AD99" s="166">
        <v>1</v>
      </c>
      <c r="AE99" s="176">
        <v>1</v>
      </c>
      <c r="AF99" s="172"/>
      <c r="AG99" s="173"/>
      <c r="AH99" s="173"/>
      <c r="AI99" s="173"/>
      <c r="AJ99" s="173"/>
      <c r="AK99" s="173"/>
      <c r="AL99" s="173"/>
      <c r="AM99" s="173"/>
      <c r="AN99" s="173"/>
      <c r="AO99" s="173"/>
      <c r="AP99" s="173"/>
      <c r="AQ99" s="173" t="str">
        <f>"  " &amp; TEXT(AE99,"#0.00%") &amp; " " &amp; "전체" &amp; "(유영주)" &amp; " " &amp; IF(P99="","",TEXT(P99,"M/D-")) &amp; IF(Q99="","",TEXT(Q99,"M/D")) &amp; " "</f>
        <v xml:space="preserve">  100.00% 전체(유영주) 10/12-11/21 </v>
      </c>
      <c r="AR99" s="173"/>
      <c r="AS99" s="173"/>
    </row>
    <row r="100" spans="1:45" ht="12" customHeight="1" outlineLevel="3">
      <c r="A100" s="147"/>
      <c r="B100" s="147"/>
      <c r="C100" s="147">
        <v>4</v>
      </c>
      <c r="D100" s="167" t="s">
        <v>1671</v>
      </c>
      <c r="E100" s="148"/>
      <c r="F100" s="148"/>
      <c r="G100" s="148"/>
      <c r="H100" s="148" t="s">
        <v>1600</v>
      </c>
      <c r="I100" s="148"/>
      <c r="J100" s="148"/>
      <c r="K100" s="220"/>
      <c r="L100" s="148"/>
      <c r="M100" s="148"/>
      <c r="N100" s="220"/>
      <c r="O100" s="148"/>
      <c r="P100" s="149">
        <v>44846</v>
      </c>
      <c r="Q100" s="149">
        <v>44886</v>
      </c>
      <c r="R100" s="148"/>
      <c r="S100" s="150">
        <v>29</v>
      </c>
      <c r="T100" s="150">
        <v>29</v>
      </c>
      <c r="U100" s="150">
        <v>29</v>
      </c>
      <c r="V100" s="150">
        <v>29</v>
      </c>
      <c r="W100" s="149"/>
      <c r="X100" s="149"/>
      <c r="Y100" s="151"/>
      <c r="Z100" s="152">
        <v>0</v>
      </c>
      <c r="AA100" s="150"/>
      <c r="AB100" s="148" t="s">
        <v>1571</v>
      </c>
      <c r="AC100" s="153"/>
      <c r="AD100" s="166">
        <v>1</v>
      </c>
      <c r="AE100" s="176">
        <v>1</v>
      </c>
      <c r="AF100" s="172"/>
      <c r="AG100" s="173"/>
      <c r="AH100" s="173"/>
      <c r="AI100" s="173"/>
      <c r="AJ100" s="173"/>
      <c r="AK100" s="173"/>
      <c r="AL100" s="173"/>
      <c r="AM100" s="173"/>
      <c r="AN100" s="173"/>
      <c r="AO100" s="173"/>
      <c r="AP100" s="173"/>
      <c r="AQ100" s="173" t="str">
        <f>"  " &amp; TEXT(AE100,"#0.00%") &amp; " " &amp; "귓속말" &amp; "(유영주)" &amp; " " &amp; IF(P100="","",TEXT(P100,"M/D-")) &amp; IF(Q100="","",TEXT(Q100,"M/D")) &amp; " "</f>
        <v xml:space="preserve">  100.00% 귓속말(유영주) 10/12-11/21 </v>
      </c>
      <c r="AR100" s="173"/>
      <c r="AS100" s="173"/>
    </row>
    <row r="101" spans="1:45" ht="12" customHeight="1" outlineLevel="2">
      <c r="A101" s="147"/>
      <c r="B101" s="147" t="s">
        <v>1353</v>
      </c>
      <c r="C101" s="147">
        <v>3</v>
      </c>
      <c r="D101" s="167" t="s">
        <v>1672</v>
      </c>
      <c r="E101" s="148"/>
      <c r="F101" s="148"/>
      <c r="G101" s="148" t="s">
        <v>1601</v>
      </c>
      <c r="H101" s="148"/>
      <c r="I101" s="148"/>
      <c r="J101" s="148"/>
      <c r="K101" s="220"/>
      <c r="L101" s="148"/>
      <c r="M101" s="148"/>
      <c r="N101" s="220"/>
      <c r="O101" s="148"/>
      <c r="P101" s="149">
        <v>44846</v>
      </c>
      <c r="Q101" s="149">
        <v>44886</v>
      </c>
      <c r="R101" s="148"/>
      <c r="S101" s="150">
        <v>232</v>
      </c>
      <c r="T101" s="150">
        <v>232</v>
      </c>
      <c r="U101" s="150">
        <v>29</v>
      </c>
      <c r="V101" s="150">
        <v>29</v>
      </c>
      <c r="W101" s="149"/>
      <c r="X101" s="149"/>
      <c r="Y101" s="151">
        <v>0</v>
      </c>
      <c r="Z101" s="152">
        <v>0</v>
      </c>
      <c r="AA101" s="150"/>
      <c r="AB101" s="148"/>
      <c r="AC101" s="153"/>
      <c r="AD101" s="166">
        <v>1</v>
      </c>
      <c r="AE101" s="211">
        <v>1</v>
      </c>
      <c r="AF101" s="172"/>
      <c r="AG101" s="173"/>
      <c r="AH101" s="173"/>
      <c r="AI101" s="173"/>
      <c r="AJ101" s="173"/>
      <c r="AK101" s="173"/>
      <c r="AL101" s="173"/>
      <c r="AM101" s="173"/>
      <c r="AN101" s="173"/>
      <c r="AO101" s="173"/>
      <c r="AP101" s="173"/>
      <c r="AQ101" s="173" t="str">
        <f>"  " &amp; TEXT(AE101,"#0.00%") &amp; " " &amp; "질문" &amp; " " &amp; IF(P101="","",TEXT(P101,"M/D-")) &amp; IF(Q101="","",TEXT(Q101,"M/D")) &amp; " "</f>
        <v xml:space="preserve">  100.00% 질문 10/12-11/21 </v>
      </c>
      <c r="AR101" s="173"/>
      <c r="AS101" s="173"/>
    </row>
    <row r="102" spans="1:45" ht="12" customHeight="1" outlineLevel="3">
      <c r="A102" s="147"/>
      <c r="B102" s="147" t="s">
        <v>1353</v>
      </c>
      <c r="C102" s="147">
        <v>4</v>
      </c>
      <c r="D102" s="167" t="s">
        <v>1673</v>
      </c>
      <c r="E102" s="148"/>
      <c r="F102" s="148"/>
      <c r="G102" s="148"/>
      <c r="H102" s="148" t="s">
        <v>1789</v>
      </c>
      <c r="I102" s="148"/>
      <c r="J102" s="148"/>
      <c r="K102" s="220"/>
      <c r="L102" s="148"/>
      <c r="M102" s="148"/>
      <c r="N102" s="220"/>
      <c r="O102" s="148"/>
      <c r="P102" s="149">
        <v>44846</v>
      </c>
      <c r="Q102" s="149">
        <v>44886</v>
      </c>
      <c r="R102" s="148"/>
      <c r="S102" s="150">
        <v>87</v>
      </c>
      <c r="T102" s="150">
        <v>87</v>
      </c>
      <c r="U102" s="150">
        <v>29</v>
      </c>
      <c r="V102" s="150">
        <v>29</v>
      </c>
      <c r="W102" s="149"/>
      <c r="X102" s="149"/>
      <c r="Y102" s="151">
        <v>0</v>
      </c>
      <c r="Z102" s="152">
        <v>0</v>
      </c>
      <c r="AA102" s="150"/>
      <c r="AB102" s="148"/>
      <c r="AC102" s="153"/>
      <c r="AD102" s="166">
        <v>1</v>
      </c>
      <c r="AE102" s="211">
        <v>1</v>
      </c>
      <c r="AF102" s="172"/>
      <c r="AG102" s="173"/>
      <c r="AH102" s="173"/>
      <c r="AI102" s="173"/>
      <c r="AJ102" s="173"/>
      <c r="AK102" s="173"/>
      <c r="AL102" s="173"/>
      <c r="AM102" s="173"/>
      <c r="AN102" s="173"/>
      <c r="AO102" s="173"/>
      <c r="AP102" s="173"/>
      <c r="AQ102" s="173" t="str">
        <f>"  " &amp; TEXT(AE102,"#0.00%") &amp; " " &amp; "기본형" &amp; " " &amp; IF(P102="","",TEXT(P102,"M/D-")) &amp; IF(Q102="","",TEXT(Q102,"M/D")) &amp; " "</f>
        <v xml:space="preserve">  100.00% 기본형 10/12-11/21 </v>
      </c>
      <c r="AR102" s="173"/>
      <c r="AS102" s="173"/>
    </row>
    <row r="103" spans="1:45" ht="12" customHeight="1" outlineLevel="4">
      <c r="A103" s="147"/>
      <c r="B103" s="147"/>
      <c r="C103" s="147">
        <v>5</v>
      </c>
      <c r="D103" s="167" t="s">
        <v>1759</v>
      </c>
      <c r="E103" s="148"/>
      <c r="F103" s="148"/>
      <c r="G103" s="148"/>
      <c r="H103" s="148"/>
      <c r="I103" s="148" t="s">
        <v>1758</v>
      </c>
      <c r="J103" s="148"/>
      <c r="K103" s="220"/>
      <c r="L103" s="148"/>
      <c r="M103" s="148"/>
      <c r="N103" s="220"/>
      <c r="O103" s="148"/>
      <c r="P103" s="149">
        <v>44846</v>
      </c>
      <c r="Q103" s="149">
        <v>44886</v>
      </c>
      <c r="R103" s="148"/>
      <c r="S103" s="150">
        <v>29</v>
      </c>
      <c r="T103" s="150">
        <v>29</v>
      </c>
      <c r="U103" s="150">
        <v>29</v>
      </c>
      <c r="V103" s="150">
        <v>29</v>
      </c>
      <c r="W103" s="149"/>
      <c r="X103" s="149"/>
      <c r="Y103" s="151"/>
      <c r="Z103" s="152">
        <v>0</v>
      </c>
      <c r="AA103" s="150"/>
      <c r="AB103" s="148" t="s">
        <v>1571</v>
      </c>
      <c r="AC103" s="153"/>
      <c r="AD103" s="166">
        <v>1</v>
      </c>
      <c r="AE103" s="176">
        <v>1</v>
      </c>
      <c r="AF103" s="172"/>
      <c r="AG103" s="173"/>
      <c r="AH103" s="173"/>
      <c r="AI103" s="173"/>
      <c r="AJ103" s="173"/>
      <c r="AK103" s="173"/>
      <c r="AL103" s="173"/>
      <c r="AM103" s="173"/>
      <c r="AN103" s="173"/>
      <c r="AO103" s="173"/>
      <c r="AP103" s="173"/>
      <c r="AQ103" s="173" t="str">
        <f>"  " &amp; TEXT(AE103,"#0.00%") &amp; " " &amp; "O/X" &amp; "(유영주)" &amp; " " &amp; IF(P103="","",TEXT(P103,"M/D-")) &amp; IF(Q103="","",TEXT(Q103,"M/D")) &amp; " "</f>
        <v xml:space="preserve">  100.00% O/X(유영주) 10/12-11/21 </v>
      </c>
      <c r="AR103" s="173"/>
      <c r="AS103" s="173"/>
    </row>
    <row r="104" spans="1:45" ht="12" customHeight="1" outlineLevel="4">
      <c r="A104" s="147"/>
      <c r="B104" s="147"/>
      <c r="C104" s="147">
        <v>5</v>
      </c>
      <c r="D104" s="167" t="s">
        <v>1760</v>
      </c>
      <c r="E104" s="148"/>
      <c r="F104" s="148"/>
      <c r="G104" s="148"/>
      <c r="H104" s="148"/>
      <c r="I104" s="148" t="s">
        <v>1602</v>
      </c>
      <c r="J104" s="148"/>
      <c r="K104" s="220"/>
      <c r="L104" s="148"/>
      <c r="M104" s="148"/>
      <c r="N104" s="220"/>
      <c r="O104" s="148"/>
      <c r="P104" s="149">
        <v>44846</v>
      </c>
      <c r="Q104" s="149">
        <v>44886</v>
      </c>
      <c r="R104" s="148"/>
      <c r="S104" s="150">
        <v>29</v>
      </c>
      <c r="T104" s="150">
        <v>29</v>
      </c>
      <c r="U104" s="150">
        <v>29</v>
      </c>
      <c r="V104" s="150">
        <v>29</v>
      </c>
      <c r="W104" s="149"/>
      <c r="X104" s="149"/>
      <c r="Y104" s="151"/>
      <c r="Z104" s="152">
        <v>0</v>
      </c>
      <c r="AA104" s="150"/>
      <c r="AB104" s="148" t="s">
        <v>1571</v>
      </c>
      <c r="AC104" s="153"/>
      <c r="AD104" s="166">
        <v>1</v>
      </c>
      <c r="AE104" s="176">
        <v>1</v>
      </c>
      <c r="AF104" s="172"/>
      <c r="AG104" s="173"/>
      <c r="AH104" s="173"/>
      <c r="AI104" s="173"/>
      <c r="AJ104" s="173"/>
      <c r="AK104" s="173"/>
      <c r="AL104" s="173"/>
      <c r="AM104" s="173"/>
      <c r="AN104" s="173"/>
      <c r="AO104" s="173"/>
      <c r="AP104" s="173"/>
      <c r="AQ104" s="173" t="str">
        <f>"  " &amp; TEXT(AE104,"#0.00%") &amp; " " &amp; "객관식" &amp; "(유영주)" &amp; " " &amp; IF(P104="","",TEXT(P104,"M/D-")) &amp; IF(Q104="","",TEXT(Q104,"M/D")) &amp; " "</f>
        <v xml:space="preserve">  100.00% 객관식(유영주) 10/12-11/21 </v>
      </c>
      <c r="AR104" s="173"/>
      <c r="AS104" s="173"/>
    </row>
    <row r="105" spans="1:45" ht="12" customHeight="1" outlineLevel="4">
      <c r="A105" s="147"/>
      <c r="B105" s="147"/>
      <c r="C105" s="147">
        <v>5</v>
      </c>
      <c r="D105" s="167" t="s">
        <v>1790</v>
      </c>
      <c r="E105" s="148"/>
      <c r="F105" s="148"/>
      <c r="G105" s="148"/>
      <c r="H105" s="148"/>
      <c r="I105" s="148" t="s">
        <v>1717</v>
      </c>
      <c r="J105" s="148"/>
      <c r="K105" s="220"/>
      <c r="L105" s="148"/>
      <c r="M105" s="148"/>
      <c r="N105" s="220"/>
      <c r="O105" s="148"/>
      <c r="P105" s="149">
        <v>44846</v>
      </c>
      <c r="Q105" s="149">
        <v>44886</v>
      </c>
      <c r="R105" s="148"/>
      <c r="S105" s="150">
        <v>29</v>
      </c>
      <c r="T105" s="150">
        <v>29</v>
      </c>
      <c r="U105" s="150">
        <v>29</v>
      </c>
      <c r="V105" s="150">
        <v>29</v>
      </c>
      <c r="W105" s="149"/>
      <c r="X105" s="149"/>
      <c r="Y105" s="151"/>
      <c r="Z105" s="152">
        <v>0</v>
      </c>
      <c r="AA105" s="150"/>
      <c r="AB105" s="148" t="s">
        <v>1571</v>
      </c>
      <c r="AC105" s="153"/>
      <c r="AD105" s="166">
        <v>1</v>
      </c>
      <c r="AE105" s="176">
        <v>1</v>
      </c>
      <c r="AF105" s="172"/>
      <c r="AG105" s="173"/>
      <c r="AH105" s="173"/>
      <c r="AI105" s="173"/>
      <c r="AJ105" s="173"/>
      <c r="AK105" s="173"/>
      <c r="AL105" s="173"/>
      <c r="AM105" s="173"/>
      <c r="AN105" s="173"/>
      <c r="AO105" s="173"/>
      <c r="AP105" s="173"/>
      <c r="AQ105" s="173" t="str">
        <f>"  " &amp; TEXT(AE105,"#0.00%") &amp; " " &amp; "주관식" &amp; "(유영주)" &amp; " " &amp; IF(P105="","",TEXT(P105,"M/D-")) &amp; IF(Q105="","",TEXT(Q105,"M/D")) &amp; " "</f>
        <v xml:space="preserve">  100.00% 주관식(유영주) 10/12-11/21 </v>
      </c>
      <c r="AR105" s="173"/>
      <c r="AS105" s="173"/>
    </row>
    <row r="106" spans="1:45" ht="12" customHeight="1" outlineLevel="3">
      <c r="A106" s="147"/>
      <c r="B106" s="147" t="s">
        <v>1353</v>
      </c>
      <c r="C106" s="147">
        <v>4</v>
      </c>
      <c r="D106" s="167" t="s">
        <v>1674</v>
      </c>
      <c r="E106" s="148"/>
      <c r="F106" s="148"/>
      <c r="G106" s="148"/>
      <c r="H106" s="148" t="s">
        <v>1716</v>
      </c>
      <c r="I106" s="148"/>
      <c r="J106" s="148"/>
      <c r="K106" s="220"/>
      <c r="L106" s="148"/>
      <c r="M106" s="148"/>
      <c r="N106" s="220"/>
      <c r="O106" s="148"/>
      <c r="P106" s="149">
        <v>44846</v>
      </c>
      <c r="Q106" s="149">
        <v>44886</v>
      </c>
      <c r="R106" s="148"/>
      <c r="S106" s="150">
        <v>87</v>
      </c>
      <c r="T106" s="150">
        <v>87</v>
      </c>
      <c r="U106" s="150">
        <v>29</v>
      </c>
      <c r="V106" s="150">
        <v>29</v>
      </c>
      <c r="W106" s="149"/>
      <c r="X106" s="149"/>
      <c r="Y106" s="151">
        <v>0</v>
      </c>
      <c r="Z106" s="152">
        <v>0</v>
      </c>
      <c r="AA106" s="150"/>
      <c r="AB106" s="148"/>
      <c r="AC106" s="153"/>
      <c r="AD106" s="166">
        <v>1</v>
      </c>
      <c r="AE106" s="211">
        <v>1</v>
      </c>
      <c r="AF106" s="172"/>
      <c r="AG106" s="173"/>
      <c r="AH106" s="173"/>
      <c r="AI106" s="173"/>
      <c r="AJ106" s="173"/>
      <c r="AK106" s="173"/>
      <c r="AL106" s="173"/>
      <c r="AM106" s="173"/>
      <c r="AN106" s="173"/>
      <c r="AO106" s="173"/>
      <c r="AP106" s="173"/>
      <c r="AQ106" s="173" t="str">
        <f>"  " &amp; TEXT(AE106,"#0.00%") &amp; " " &amp; "스피드 게임형" &amp; " " &amp; IF(P106="","",TEXT(P106,"M/D-")) &amp; IF(Q106="","",TEXT(Q106,"M/D")) &amp; " "</f>
        <v xml:space="preserve">  100.00% 스피드 게임형 10/12-11/21 </v>
      </c>
      <c r="AR106" s="173"/>
      <c r="AS106" s="173"/>
    </row>
    <row r="107" spans="1:45" ht="12" customHeight="1" outlineLevel="4">
      <c r="A107" s="147"/>
      <c r="B107" s="147"/>
      <c r="C107" s="147">
        <v>5</v>
      </c>
      <c r="D107" s="167" t="s">
        <v>1761</v>
      </c>
      <c r="E107" s="148"/>
      <c r="F107" s="148"/>
      <c r="G107" s="148"/>
      <c r="H107" s="148"/>
      <c r="I107" s="148" t="s">
        <v>1758</v>
      </c>
      <c r="J107" s="148"/>
      <c r="K107" s="220"/>
      <c r="L107" s="148"/>
      <c r="M107" s="148"/>
      <c r="N107" s="220"/>
      <c r="O107" s="148"/>
      <c r="P107" s="149">
        <v>44846</v>
      </c>
      <c r="Q107" s="149">
        <v>44886</v>
      </c>
      <c r="R107" s="148"/>
      <c r="S107" s="150">
        <v>29</v>
      </c>
      <c r="T107" s="150">
        <v>29</v>
      </c>
      <c r="U107" s="150">
        <v>29</v>
      </c>
      <c r="V107" s="150">
        <v>29</v>
      </c>
      <c r="W107" s="149"/>
      <c r="X107" s="149"/>
      <c r="Y107" s="151"/>
      <c r="Z107" s="152">
        <v>0</v>
      </c>
      <c r="AA107" s="150"/>
      <c r="AB107" s="148" t="s">
        <v>1571</v>
      </c>
      <c r="AC107" s="153"/>
      <c r="AD107" s="166">
        <v>1</v>
      </c>
      <c r="AE107" s="176">
        <v>1</v>
      </c>
      <c r="AF107" s="172"/>
      <c r="AG107" s="173"/>
      <c r="AH107" s="173"/>
      <c r="AI107" s="173"/>
      <c r="AJ107" s="173"/>
      <c r="AK107" s="173"/>
      <c r="AL107" s="173"/>
      <c r="AM107" s="173"/>
      <c r="AN107" s="173"/>
      <c r="AO107" s="173"/>
      <c r="AP107" s="173"/>
      <c r="AQ107" s="173" t="str">
        <f>"  " &amp; TEXT(AE107,"#0.00%") &amp; " " &amp; "O/X" &amp; "(유영주)" &amp; " " &amp; IF(P107="","",TEXT(P107,"M/D-")) &amp; IF(Q107="","",TEXT(Q107,"M/D")) &amp; " "</f>
        <v xml:space="preserve">  100.00% O/X(유영주) 10/12-11/21 </v>
      </c>
      <c r="AR107" s="173"/>
      <c r="AS107" s="173"/>
    </row>
    <row r="108" spans="1:45" ht="12" customHeight="1" outlineLevel="4">
      <c r="A108" s="147"/>
      <c r="B108" s="147"/>
      <c r="C108" s="147">
        <v>5</v>
      </c>
      <c r="D108" s="167" t="s">
        <v>1762</v>
      </c>
      <c r="E108" s="148"/>
      <c r="F108" s="148"/>
      <c r="G108" s="148"/>
      <c r="H108" s="148"/>
      <c r="I108" s="148" t="s">
        <v>1602</v>
      </c>
      <c r="J108" s="148"/>
      <c r="K108" s="220"/>
      <c r="L108" s="148"/>
      <c r="M108" s="148"/>
      <c r="N108" s="220"/>
      <c r="O108" s="148"/>
      <c r="P108" s="149">
        <v>44846</v>
      </c>
      <c r="Q108" s="149">
        <v>44886</v>
      </c>
      <c r="R108" s="148"/>
      <c r="S108" s="150">
        <v>29</v>
      </c>
      <c r="T108" s="150">
        <v>29</v>
      </c>
      <c r="U108" s="150">
        <v>29</v>
      </c>
      <c r="V108" s="150">
        <v>29</v>
      </c>
      <c r="W108" s="149"/>
      <c r="X108" s="149"/>
      <c r="Y108" s="151"/>
      <c r="Z108" s="152">
        <v>0</v>
      </c>
      <c r="AA108" s="150"/>
      <c r="AB108" s="148" t="s">
        <v>1571</v>
      </c>
      <c r="AC108" s="153"/>
      <c r="AD108" s="166">
        <v>1</v>
      </c>
      <c r="AE108" s="176">
        <v>1</v>
      </c>
      <c r="AF108" s="172"/>
      <c r="AG108" s="173"/>
      <c r="AH108" s="173"/>
      <c r="AI108" s="173"/>
      <c r="AJ108" s="173"/>
      <c r="AK108" s="173"/>
      <c r="AL108" s="173"/>
      <c r="AM108" s="173"/>
      <c r="AN108" s="173"/>
      <c r="AO108" s="173"/>
      <c r="AP108" s="173"/>
      <c r="AQ108" s="173" t="str">
        <f>"  " &amp; TEXT(AE108,"#0.00%") &amp; " " &amp; "객관식" &amp; "(유영주)" &amp; " " &amp; IF(P108="","",TEXT(P108,"M/D-")) &amp; IF(Q108="","",TEXT(Q108,"M/D")) &amp; " "</f>
        <v xml:space="preserve">  100.00% 객관식(유영주) 10/12-11/21 </v>
      </c>
      <c r="AR108" s="173"/>
      <c r="AS108" s="173"/>
    </row>
    <row r="109" spans="1:45" ht="12" customHeight="1" outlineLevel="4">
      <c r="A109" s="147"/>
      <c r="B109" s="147"/>
      <c r="C109" s="147">
        <v>5</v>
      </c>
      <c r="D109" s="167" t="s">
        <v>1791</v>
      </c>
      <c r="E109" s="148"/>
      <c r="F109" s="148"/>
      <c r="G109" s="148"/>
      <c r="H109" s="148"/>
      <c r="I109" s="148" t="s">
        <v>1717</v>
      </c>
      <c r="J109" s="148"/>
      <c r="K109" s="220"/>
      <c r="L109" s="148"/>
      <c r="M109" s="148"/>
      <c r="N109" s="220"/>
      <c r="O109" s="148"/>
      <c r="P109" s="149">
        <v>44846</v>
      </c>
      <c r="Q109" s="149">
        <v>44886</v>
      </c>
      <c r="R109" s="148"/>
      <c r="S109" s="150">
        <v>29</v>
      </c>
      <c r="T109" s="150">
        <v>29</v>
      </c>
      <c r="U109" s="150">
        <v>29</v>
      </c>
      <c r="V109" s="150">
        <v>29</v>
      </c>
      <c r="W109" s="149"/>
      <c r="X109" s="149"/>
      <c r="Y109" s="151"/>
      <c r="Z109" s="152">
        <v>0</v>
      </c>
      <c r="AA109" s="150"/>
      <c r="AB109" s="148" t="s">
        <v>1571</v>
      </c>
      <c r="AC109" s="153"/>
      <c r="AD109" s="166">
        <v>1</v>
      </c>
      <c r="AE109" s="176">
        <v>1</v>
      </c>
      <c r="AF109" s="172"/>
      <c r="AG109" s="173"/>
      <c r="AH109" s="173"/>
      <c r="AI109" s="173"/>
      <c r="AJ109" s="173"/>
      <c r="AK109" s="173"/>
      <c r="AL109" s="173"/>
      <c r="AM109" s="173"/>
      <c r="AN109" s="173"/>
      <c r="AO109" s="173"/>
      <c r="AP109" s="173"/>
      <c r="AQ109" s="173" t="str">
        <f>"  " &amp; TEXT(AE109,"#0.00%") &amp; " " &amp; "주관식" &amp; "(유영주)" &amp; " " &amp; IF(P109="","",TEXT(P109,"M/D-")) &amp; IF(Q109="","",TEXT(Q109,"M/D")) &amp; " "</f>
        <v xml:space="preserve">  100.00% 주관식(유영주) 10/12-11/21 </v>
      </c>
      <c r="AR109" s="173"/>
      <c r="AS109" s="173"/>
    </row>
    <row r="110" spans="1:45" ht="12" customHeight="1" outlineLevel="3">
      <c r="A110" s="147"/>
      <c r="B110" s="147" t="s">
        <v>1353</v>
      </c>
      <c r="C110" s="147">
        <v>4</v>
      </c>
      <c r="D110" s="167" t="s">
        <v>1675</v>
      </c>
      <c r="E110" s="148"/>
      <c r="F110" s="148"/>
      <c r="G110" s="148"/>
      <c r="H110" s="148" t="s">
        <v>1715</v>
      </c>
      <c r="I110" s="148"/>
      <c r="J110" s="148"/>
      <c r="K110" s="220"/>
      <c r="L110" s="148"/>
      <c r="M110" s="148"/>
      <c r="N110" s="220"/>
      <c r="O110" s="148"/>
      <c r="P110" s="149">
        <v>44846</v>
      </c>
      <c r="Q110" s="149">
        <v>44886</v>
      </c>
      <c r="R110" s="148"/>
      <c r="S110" s="150">
        <v>58</v>
      </c>
      <c r="T110" s="150">
        <v>58</v>
      </c>
      <c r="U110" s="150">
        <v>29</v>
      </c>
      <c r="V110" s="150">
        <v>29</v>
      </c>
      <c r="W110" s="149"/>
      <c r="X110" s="149"/>
      <c r="Y110" s="151">
        <v>0</v>
      </c>
      <c r="Z110" s="152">
        <v>0</v>
      </c>
      <c r="AA110" s="150"/>
      <c r="AB110" s="148"/>
      <c r="AC110" s="153"/>
      <c r="AD110" s="166">
        <v>1</v>
      </c>
      <c r="AE110" s="211">
        <v>1</v>
      </c>
      <c r="AF110" s="172"/>
      <c r="AG110" s="173"/>
      <c r="AH110" s="173"/>
      <c r="AI110" s="173"/>
      <c r="AJ110" s="173"/>
      <c r="AK110" s="173"/>
      <c r="AL110" s="173"/>
      <c r="AM110" s="173"/>
      <c r="AN110" s="173"/>
      <c r="AO110" s="173"/>
      <c r="AP110" s="173"/>
      <c r="AQ110" s="173" t="str">
        <f>"  " &amp; TEXT(AE110,"#0.00%") &amp; " " &amp; "캐릭터 게임형" &amp; " " &amp; IF(P110="","",TEXT(P110,"M/D-")) &amp; IF(Q110="","",TEXT(Q110,"M/D")) &amp; " "</f>
        <v xml:space="preserve">  100.00% 캐릭터 게임형 10/12-11/21 </v>
      </c>
      <c r="AR110" s="173"/>
      <c r="AS110" s="173"/>
    </row>
    <row r="111" spans="1:45" ht="12" customHeight="1" outlineLevel="4">
      <c r="A111" s="147"/>
      <c r="B111" s="147"/>
      <c r="C111" s="147">
        <v>5</v>
      </c>
      <c r="D111" s="167" t="s">
        <v>1763</v>
      </c>
      <c r="E111" s="148"/>
      <c r="F111" s="148"/>
      <c r="G111" s="148"/>
      <c r="H111" s="148"/>
      <c r="I111" s="148" t="s">
        <v>1758</v>
      </c>
      <c r="J111" s="148"/>
      <c r="K111" s="220"/>
      <c r="L111" s="148"/>
      <c r="M111" s="148"/>
      <c r="N111" s="220"/>
      <c r="O111" s="148"/>
      <c r="P111" s="149">
        <v>44846</v>
      </c>
      <c r="Q111" s="149">
        <v>44886</v>
      </c>
      <c r="R111" s="148"/>
      <c r="S111" s="150">
        <v>29</v>
      </c>
      <c r="T111" s="150">
        <v>29</v>
      </c>
      <c r="U111" s="150">
        <v>29</v>
      </c>
      <c r="V111" s="150">
        <v>29</v>
      </c>
      <c r="W111" s="149"/>
      <c r="X111" s="149"/>
      <c r="Y111" s="151"/>
      <c r="Z111" s="152">
        <v>0</v>
      </c>
      <c r="AA111" s="150"/>
      <c r="AB111" s="148" t="s">
        <v>1571</v>
      </c>
      <c r="AC111" s="153"/>
      <c r="AD111" s="166">
        <v>1</v>
      </c>
      <c r="AE111" s="176">
        <v>1</v>
      </c>
      <c r="AF111" s="172"/>
      <c r="AG111" s="173"/>
      <c r="AH111" s="173"/>
      <c r="AI111" s="173"/>
      <c r="AJ111" s="173"/>
      <c r="AK111" s="173"/>
      <c r="AL111" s="173"/>
      <c r="AM111" s="173"/>
      <c r="AN111" s="173"/>
      <c r="AO111" s="173"/>
      <c r="AP111" s="173"/>
      <c r="AQ111" s="173" t="str">
        <f>"  " &amp; TEXT(AE111,"#0.00%") &amp; " " &amp; "O/X" &amp; "(유영주)" &amp; " " &amp; IF(P111="","",TEXT(P111,"M/D-")) &amp; IF(Q111="","",TEXT(Q111,"M/D")) &amp; " "</f>
        <v xml:space="preserve">  100.00% O/X(유영주) 10/12-11/21 </v>
      </c>
      <c r="AR111" s="173"/>
      <c r="AS111" s="173"/>
    </row>
    <row r="112" spans="1:45" ht="12" customHeight="1" outlineLevel="4">
      <c r="A112" s="147"/>
      <c r="B112" s="147"/>
      <c r="C112" s="147">
        <v>5</v>
      </c>
      <c r="D112" s="167" t="s">
        <v>1764</v>
      </c>
      <c r="E112" s="148"/>
      <c r="F112" s="148"/>
      <c r="G112" s="148"/>
      <c r="H112" s="148"/>
      <c r="I112" s="148" t="s">
        <v>1602</v>
      </c>
      <c r="J112" s="148"/>
      <c r="K112" s="220"/>
      <c r="L112" s="148"/>
      <c r="M112" s="148"/>
      <c r="N112" s="220"/>
      <c r="O112" s="148"/>
      <c r="P112" s="149">
        <v>44846</v>
      </c>
      <c r="Q112" s="149">
        <v>44886</v>
      </c>
      <c r="R112" s="148"/>
      <c r="S112" s="150">
        <v>29</v>
      </c>
      <c r="T112" s="150">
        <v>29</v>
      </c>
      <c r="U112" s="150">
        <v>29</v>
      </c>
      <c r="V112" s="150">
        <v>29</v>
      </c>
      <c r="W112" s="149"/>
      <c r="X112" s="149"/>
      <c r="Y112" s="151"/>
      <c r="Z112" s="152">
        <v>0</v>
      </c>
      <c r="AA112" s="150"/>
      <c r="AB112" s="148" t="s">
        <v>1571</v>
      </c>
      <c r="AC112" s="153"/>
      <c r="AD112" s="166">
        <v>1</v>
      </c>
      <c r="AE112" s="176">
        <v>1</v>
      </c>
      <c r="AF112" s="172"/>
      <c r="AG112" s="173"/>
      <c r="AH112" s="173"/>
      <c r="AI112" s="173"/>
      <c r="AJ112" s="173"/>
      <c r="AK112" s="173"/>
      <c r="AL112" s="173"/>
      <c r="AM112" s="173"/>
      <c r="AN112" s="173"/>
      <c r="AO112" s="173"/>
      <c r="AP112" s="173"/>
      <c r="AQ112" s="173" t="str">
        <f>"  " &amp; TEXT(AE112,"#0.00%") &amp; " " &amp; "객관식" &amp; "(유영주)" &amp; " " &amp; IF(P112="","",TEXT(P112,"M/D-")) &amp; IF(Q112="","",TEXT(Q112,"M/D")) &amp; " "</f>
        <v xml:space="preserve">  100.00% 객관식(유영주) 10/12-11/21 </v>
      </c>
      <c r="AR112" s="173"/>
      <c r="AS112" s="173"/>
    </row>
    <row r="113" spans="1:45" ht="12" customHeight="1" outlineLevel="2">
      <c r="A113" s="147"/>
      <c r="B113" s="147" t="s">
        <v>1353</v>
      </c>
      <c r="C113" s="147">
        <v>3</v>
      </c>
      <c r="D113" s="167" t="s">
        <v>1676</v>
      </c>
      <c r="E113" s="148"/>
      <c r="F113" s="148"/>
      <c r="G113" s="148" t="s">
        <v>1754</v>
      </c>
      <c r="H113" s="148"/>
      <c r="I113" s="148"/>
      <c r="J113" s="148"/>
      <c r="K113" s="220"/>
      <c r="L113" s="148"/>
      <c r="M113" s="148"/>
      <c r="N113" s="220"/>
      <c r="O113" s="148"/>
      <c r="P113" s="149">
        <v>44846</v>
      </c>
      <c r="Q113" s="149">
        <v>44886</v>
      </c>
      <c r="R113" s="148"/>
      <c r="S113" s="150">
        <v>174</v>
      </c>
      <c r="T113" s="150">
        <v>174</v>
      </c>
      <c r="U113" s="150">
        <v>29</v>
      </c>
      <c r="V113" s="150">
        <v>29</v>
      </c>
      <c r="W113" s="149"/>
      <c r="X113" s="149"/>
      <c r="Y113" s="151">
        <v>0</v>
      </c>
      <c r="Z113" s="152">
        <v>0</v>
      </c>
      <c r="AA113" s="150"/>
      <c r="AB113" s="148"/>
      <c r="AC113" s="153"/>
      <c r="AD113" s="166">
        <v>1</v>
      </c>
      <c r="AE113" s="211">
        <v>1</v>
      </c>
      <c r="AF113" s="172"/>
      <c r="AG113" s="173"/>
      <c r="AH113" s="173"/>
      <c r="AI113" s="173"/>
      <c r="AJ113" s="173"/>
      <c r="AK113" s="173"/>
      <c r="AL113" s="173"/>
      <c r="AM113" s="173"/>
      <c r="AN113" s="173"/>
      <c r="AO113" s="173"/>
      <c r="AP113" s="173"/>
      <c r="AQ113" s="173" t="str">
        <f>"  " &amp; TEXT(AE113,"#0.00%") &amp; " " &amp; "필기노트" &amp; " " &amp; IF(P113="","",TEXT(P113,"M/D-")) &amp; IF(Q113="","",TEXT(Q113,"M/D")) &amp; " "</f>
        <v xml:space="preserve">  100.00% 필기노트 10/12-11/21 </v>
      </c>
      <c r="AR113" s="173"/>
      <c r="AS113" s="173"/>
    </row>
    <row r="114" spans="1:45" ht="12" customHeight="1" outlineLevel="3">
      <c r="A114" s="147"/>
      <c r="B114" s="147"/>
      <c r="C114" s="147">
        <v>4</v>
      </c>
      <c r="D114" s="167" t="s">
        <v>1677</v>
      </c>
      <c r="E114" s="148"/>
      <c r="F114" s="148"/>
      <c r="G114" s="148"/>
      <c r="H114" s="148" t="s">
        <v>1604</v>
      </c>
      <c r="I114" s="148"/>
      <c r="J114" s="148"/>
      <c r="K114" s="220"/>
      <c r="L114" s="148"/>
      <c r="M114" s="148"/>
      <c r="N114" s="220"/>
      <c r="O114" s="148"/>
      <c r="P114" s="149">
        <v>44846</v>
      </c>
      <c r="Q114" s="149">
        <v>44886</v>
      </c>
      <c r="R114" s="148"/>
      <c r="S114" s="150">
        <v>29</v>
      </c>
      <c r="T114" s="150">
        <v>29</v>
      </c>
      <c r="U114" s="150">
        <v>29</v>
      </c>
      <c r="V114" s="150">
        <v>29</v>
      </c>
      <c r="W114" s="149"/>
      <c r="X114" s="149"/>
      <c r="Y114" s="151"/>
      <c r="Z114" s="152">
        <v>0</v>
      </c>
      <c r="AA114" s="150"/>
      <c r="AB114" s="148" t="s">
        <v>1847</v>
      </c>
      <c r="AC114" s="153"/>
      <c r="AD114" s="166">
        <v>1</v>
      </c>
      <c r="AE114" s="176">
        <v>1</v>
      </c>
      <c r="AF114" s="172"/>
      <c r="AG114" s="173"/>
      <c r="AH114" s="173"/>
      <c r="AI114" s="173"/>
      <c r="AJ114" s="173"/>
      <c r="AK114" s="173"/>
      <c r="AL114" s="173"/>
      <c r="AM114" s="173"/>
      <c r="AN114" s="173"/>
      <c r="AO114" s="173"/>
      <c r="AP114" s="173"/>
      <c r="AQ114" s="173" t="str">
        <f>"  " &amp; TEXT(AE114,"#0.00%") &amp; " " &amp; "텍스트" &amp; "(편성윤)" &amp; " " &amp; IF(P114="","",TEXT(P114,"M/D-")) &amp; IF(Q114="","",TEXT(Q114,"M/D")) &amp; " "</f>
        <v xml:space="preserve">  100.00% 텍스트(편성윤) 10/12-11/21 </v>
      </c>
      <c r="AR114" s="173"/>
      <c r="AS114" s="173"/>
    </row>
    <row r="115" spans="1:45" ht="12" customHeight="1" outlineLevel="3">
      <c r="A115" s="147"/>
      <c r="B115" s="147"/>
      <c r="C115" s="147">
        <v>4</v>
      </c>
      <c r="D115" s="167" t="s">
        <v>1678</v>
      </c>
      <c r="E115" s="148"/>
      <c r="F115" s="148"/>
      <c r="G115" s="148"/>
      <c r="H115" s="148" t="s">
        <v>1605</v>
      </c>
      <c r="I115" s="148"/>
      <c r="J115" s="148"/>
      <c r="K115" s="220"/>
      <c r="L115" s="148"/>
      <c r="M115" s="148"/>
      <c r="N115" s="220"/>
      <c r="O115" s="148"/>
      <c r="P115" s="149">
        <v>44846</v>
      </c>
      <c r="Q115" s="149">
        <v>44886</v>
      </c>
      <c r="R115" s="148"/>
      <c r="S115" s="150">
        <v>29</v>
      </c>
      <c r="T115" s="150">
        <v>29</v>
      </c>
      <c r="U115" s="150">
        <v>29</v>
      </c>
      <c r="V115" s="150">
        <v>29</v>
      </c>
      <c r="W115" s="149"/>
      <c r="X115" s="149"/>
      <c r="Y115" s="151"/>
      <c r="Z115" s="152">
        <v>0</v>
      </c>
      <c r="AA115" s="150"/>
      <c r="AB115" s="148" t="s">
        <v>1847</v>
      </c>
      <c r="AC115" s="153"/>
      <c r="AD115" s="166">
        <v>1</v>
      </c>
      <c r="AE115" s="176">
        <v>1</v>
      </c>
      <c r="AF115" s="172"/>
      <c r="AG115" s="173"/>
      <c r="AH115" s="173"/>
      <c r="AI115" s="173"/>
      <c r="AJ115" s="173"/>
      <c r="AK115" s="173"/>
      <c r="AL115" s="173"/>
      <c r="AM115" s="173"/>
      <c r="AN115" s="173"/>
      <c r="AO115" s="173"/>
      <c r="AP115" s="173"/>
      <c r="AQ115" s="173" t="str">
        <f>"  " &amp; TEXT(AE115,"#0.00%") &amp; " " &amp; "펜" &amp; "(편성윤)" &amp; " " &amp; IF(P115="","",TEXT(P115,"M/D-")) &amp; IF(Q115="","",TEXT(Q115,"M/D")) &amp; " "</f>
        <v xml:space="preserve">  100.00% 펜(편성윤) 10/12-11/21 </v>
      </c>
      <c r="AR115" s="173"/>
      <c r="AS115" s="173"/>
    </row>
    <row r="116" spans="1:45" ht="12" customHeight="1" outlineLevel="3">
      <c r="A116" s="147"/>
      <c r="B116" s="147"/>
      <c r="C116" s="147">
        <v>4</v>
      </c>
      <c r="D116" s="167" t="s">
        <v>1679</v>
      </c>
      <c r="E116" s="148"/>
      <c r="F116" s="148"/>
      <c r="G116" s="148"/>
      <c r="H116" s="148" t="s">
        <v>1606</v>
      </c>
      <c r="I116" s="148"/>
      <c r="J116" s="148"/>
      <c r="K116" s="220"/>
      <c r="L116" s="148"/>
      <c r="M116" s="148"/>
      <c r="N116" s="220"/>
      <c r="O116" s="148"/>
      <c r="P116" s="149">
        <v>44846</v>
      </c>
      <c r="Q116" s="149">
        <v>44886</v>
      </c>
      <c r="R116" s="148"/>
      <c r="S116" s="150">
        <v>29</v>
      </c>
      <c r="T116" s="150">
        <v>29</v>
      </c>
      <c r="U116" s="150">
        <v>29</v>
      </c>
      <c r="V116" s="150">
        <v>29</v>
      </c>
      <c r="W116" s="149"/>
      <c r="X116" s="149"/>
      <c r="Y116" s="151"/>
      <c r="Z116" s="152">
        <v>0</v>
      </c>
      <c r="AA116" s="150"/>
      <c r="AB116" s="148" t="s">
        <v>1847</v>
      </c>
      <c r="AC116" s="153"/>
      <c r="AD116" s="166">
        <v>1</v>
      </c>
      <c r="AE116" s="176">
        <v>1</v>
      </c>
      <c r="AF116" s="172"/>
      <c r="AG116" s="173"/>
      <c r="AH116" s="173"/>
      <c r="AI116" s="173"/>
      <c r="AJ116" s="173"/>
      <c r="AK116" s="173"/>
      <c r="AL116" s="173"/>
      <c r="AM116" s="173"/>
      <c r="AN116" s="173"/>
      <c r="AO116" s="173"/>
      <c r="AP116" s="173"/>
      <c r="AQ116" s="173" t="str">
        <f>"  " &amp; TEXT(AE116,"#0.00%") &amp; " " &amp; "도형" &amp; "(편성윤)" &amp; " " &amp; IF(P116="","",TEXT(P116,"M/D-")) &amp; IF(Q116="","",TEXT(Q116,"M/D")) &amp; " "</f>
        <v xml:space="preserve">  100.00% 도형(편성윤) 10/12-11/21 </v>
      </c>
      <c r="AR116" s="173"/>
      <c r="AS116" s="173"/>
    </row>
    <row r="117" spans="1:45" ht="12" customHeight="1" outlineLevel="3">
      <c r="A117" s="147"/>
      <c r="B117" s="147"/>
      <c r="C117" s="147">
        <v>4</v>
      </c>
      <c r="D117" s="167" t="s">
        <v>1680</v>
      </c>
      <c r="E117" s="148"/>
      <c r="F117" s="148"/>
      <c r="G117" s="148"/>
      <c r="H117" s="148" t="s">
        <v>1707</v>
      </c>
      <c r="I117" s="148"/>
      <c r="J117" s="148"/>
      <c r="K117" s="220"/>
      <c r="L117" s="148"/>
      <c r="M117" s="148"/>
      <c r="N117" s="220"/>
      <c r="O117" s="148"/>
      <c r="P117" s="149">
        <v>44846</v>
      </c>
      <c r="Q117" s="149">
        <v>44886</v>
      </c>
      <c r="R117" s="148"/>
      <c r="S117" s="150">
        <v>29</v>
      </c>
      <c r="T117" s="150">
        <v>29</v>
      </c>
      <c r="U117" s="150">
        <v>29</v>
      </c>
      <c r="V117" s="150">
        <v>29</v>
      </c>
      <c r="W117" s="149"/>
      <c r="X117" s="149"/>
      <c r="Y117" s="151"/>
      <c r="Z117" s="152">
        <v>0</v>
      </c>
      <c r="AA117" s="150"/>
      <c r="AB117" s="148" t="s">
        <v>1847</v>
      </c>
      <c r="AC117" s="153"/>
      <c r="AD117" s="166">
        <v>1</v>
      </c>
      <c r="AE117" s="176">
        <v>1</v>
      </c>
      <c r="AF117" s="172"/>
      <c r="AG117" s="173"/>
      <c r="AH117" s="173"/>
      <c r="AI117" s="173"/>
      <c r="AJ117" s="173"/>
      <c r="AK117" s="173"/>
      <c r="AL117" s="173"/>
      <c r="AM117" s="173"/>
      <c r="AN117" s="173"/>
      <c r="AO117" s="173"/>
      <c r="AP117" s="173"/>
      <c r="AQ117" s="173" t="str">
        <f>"  " &amp; TEXT(AE117,"#0.00%") &amp; " " &amp; "파일 저장 기능" &amp; "(편성윤)" &amp; " " &amp; IF(P117="","",TEXT(P117,"M/D-")) &amp; IF(Q117="","",TEXT(Q117,"M/D")) &amp; " "</f>
        <v xml:space="preserve">  100.00% 파일 저장 기능(편성윤) 10/12-11/21 </v>
      </c>
      <c r="AR117" s="173"/>
      <c r="AS117" s="173"/>
    </row>
    <row r="118" spans="1:45" ht="12" customHeight="1" outlineLevel="3">
      <c r="A118" s="147"/>
      <c r="B118" s="147"/>
      <c r="C118" s="147">
        <v>4</v>
      </c>
      <c r="D118" s="167" t="s">
        <v>1681</v>
      </c>
      <c r="E118" s="148"/>
      <c r="F118" s="148"/>
      <c r="G118" s="148"/>
      <c r="H118" s="148" t="s">
        <v>1708</v>
      </c>
      <c r="I118" s="148"/>
      <c r="J118" s="148"/>
      <c r="K118" s="220"/>
      <c r="L118" s="148"/>
      <c r="M118" s="148"/>
      <c r="N118" s="220"/>
      <c r="O118" s="148"/>
      <c r="P118" s="149">
        <v>44846</v>
      </c>
      <c r="Q118" s="149">
        <v>44886</v>
      </c>
      <c r="R118" s="148"/>
      <c r="S118" s="150">
        <v>29</v>
      </c>
      <c r="T118" s="150">
        <v>29</v>
      </c>
      <c r="U118" s="150">
        <v>29</v>
      </c>
      <c r="V118" s="150">
        <v>29</v>
      </c>
      <c r="W118" s="149"/>
      <c r="X118" s="149"/>
      <c r="Y118" s="151"/>
      <c r="Z118" s="152">
        <v>0</v>
      </c>
      <c r="AA118" s="150"/>
      <c r="AB118" s="148" t="s">
        <v>1847</v>
      </c>
      <c r="AC118" s="153"/>
      <c r="AD118" s="166">
        <v>1</v>
      </c>
      <c r="AE118" s="176">
        <v>1</v>
      </c>
      <c r="AF118" s="172"/>
      <c r="AG118" s="173"/>
      <c r="AH118" s="173"/>
      <c r="AI118" s="173"/>
      <c r="AJ118" s="173"/>
      <c r="AK118" s="173"/>
      <c r="AL118" s="173"/>
      <c r="AM118" s="173"/>
      <c r="AN118" s="173"/>
      <c r="AO118" s="173"/>
      <c r="AP118" s="173"/>
      <c r="AQ118" s="173" t="str">
        <f>"  " &amp; TEXT(AE118,"#0.00%") &amp; " " &amp; "교수 화면 캡쳐기능" &amp; "(편성윤)" &amp; " " &amp; IF(P118="","",TEXT(P118,"M/D-")) &amp; IF(Q118="","",TEXT(Q118,"M/D")) &amp; " "</f>
        <v xml:space="preserve">  100.00% 교수 화면 캡쳐기능(편성윤) 10/12-11/21 </v>
      </c>
      <c r="AR118" s="173"/>
      <c r="AS118" s="173"/>
    </row>
    <row r="119" spans="1:45" ht="12" customHeight="1" outlineLevel="3">
      <c r="A119" s="147"/>
      <c r="B119" s="147"/>
      <c r="C119" s="147">
        <v>4</v>
      </c>
      <c r="D119" s="167" t="s">
        <v>1682</v>
      </c>
      <c r="E119" s="148"/>
      <c r="F119" s="148"/>
      <c r="G119" s="148"/>
      <c r="H119" s="148" t="s">
        <v>1718</v>
      </c>
      <c r="I119" s="148"/>
      <c r="J119" s="148"/>
      <c r="K119" s="220"/>
      <c r="L119" s="148"/>
      <c r="M119" s="148"/>
      <c r="N119" s="220"/>
      <c r="O119" s="148"/>
      <c r="P119" s="149">
        <v>44846</v>
      </c>
      <c r="Q119" s="149">
        <v>44886</v>
      </c>
      <c r="R119" s="148"/>
      <c r="S119" s="150">
        <v>29</v>
      </c>
      <c r="T119" s="150">
        <v>29</v>
      </c>
      <c r="U119" s="150">
        <v>29</v>
      </c>
      <c r="V119" s="150">
        <v>29</v>
      </c>
      <c r="W119" s="149"/>
      <c r="X119" s="149"/>
      <c r="Y119" s="151"/>
      <c r="Z119" s="152">
        <v>0</v>
      </c>
      <c r="AA119" s="150"/>
      <c r="AB119" s="148" t="s">
        <v>1847</v>
      </c>
      <c r="AC119" s="153"/>
      <c r="AD119" s="166">
        <v>1</v>
      </c>
      <c r="AE119" s="176">
        <v>1</v>
      </c>
      <c r="AF119" s="172"/>
      <c r="AG119" s="173"/>
      <c r="AH119" s="173"/>
      <c r="AI119" s="173"/>
      <c r="AJ119" s="173"/>
      <c r="AK119" s="173"/>
      <c r="AL119" s="173"/>
      <c r="AM119" s="173"/>
      <c r="AN119" s="173"/>
      <c r="AO119" s="173"/>
      <c r="AP119" s="173"/>
      <c r="AQ119" s="173" t="str">
        <f>"  " &amp; TEXT(AE119,"#0.00%") &amp; " " &amp; "캡처 리스트" &amp; "(편성윤)" &amp; " " &amp; IF(P119="","",TEXT(P119,"M/D-")) &amp; IF(Q119="","",TEXT(Q119,"M/D")) &amp; " "</f>
        <v xml:space="preserve">  100.00% 캡처 리스트(편성윤) 10/12-11/21 </v>
      </c>
      <c r="AR119" s="173"/>
      <c r="AS119" s="173"/>
    </row>
    <row r="120" spans="1:45" ht="12" customHeight="1" outlineLevel="2">
      <c r="A120" s="147"/>
      <c r="B120" s="147" t="s">
        <v>1353</v>
      </c>
      <c r="C120" s="147">
        <v>3</v>
      </c>
      <c r="D120" s="167" t="s">
        <v>1683</v>
      </c>
      <c r="E120" s="148"/>
      <c r="F120" s="148"/>
      <c r="G120" s="148" t="s">
        <v>1607</v>
      </c>
      <c r="H120" s="148"/>
      <c r="I120" s="148"/>
      <c r="J120" s="148"/>
      <c r="K120" s="220"/>
      <c r="L120" s="148"/>
      <c r="M120" s="148"/>
      <c r="N120" s="220"/>
      <c r="O120" s="148"/>
      <c r="P120" s="149">
        <v>44846</v>
      </c>
      <c r="Q120" s="149">
        <v>44886</v>
      </c>
      <c r="R120" s="148"/>
      <c r="S120" s="150">
        <v>87</v>
      </c>
      <c r="T120" s="150">
        <v>87</v>
      </c>
      <c r="U120" s="150">
        <v>29</v>
      </c>
      <c r="V120" s="150">
        <v>29</v>
      </c>
      <c r="W120" s="149"/>
      <c r="X120" s="149"/>
      <c r="Y120" s="151">
        <v>0</v>
      </c>
      <c r="Z120" s="152">
        <v>0</v>
      </c>
      <c r="AA120" s="150"/>
      <c r="AB120" s="148"/>
      <c r="AC120" s="153"/>
      <c r="AD120" s="166">
        <v>1</v>
      </c>
      <c r="AE120" s="211">
        <v>1</v>
      </c>
      <c r="AF120" s="172"/>
      <c r="AG120" s="173"/>
      <c r="AH120" s="173"/>
      <c r="AI120" s="173"/>
      <c r="AJ120" s="173"/>
      <c r="AK120" s="173"/>
      <c r="AL120" s="173"/>
      <c r="AM120" s="173"/>
      <c r="AN120" s="173"/>
      <c r="AO120" s="173"/>
      <c r="AP120" s="173"/>
      <c r="AQ120" s="173" t="str">
        <f>"  " &amp; TEXT(AE120,"#0.00%") &amp; " " &amp; "화면 송수신" &amp; " " &amp; IF(P120="","",TEXT(P120,"M/D-")) &amp; IF(Q120="","",TEXT(Q120,"M/D")) &amp; " "</f>
        <v xml:space="preserve">  100.00% 화면 송수신 10/12-11/21 </v>
      </c>
      <c r="AR120" s="173"/>
      <c r="AS120" s="173"/>
    </row>
    <row r="121" spans="1:45" ht="12" customHeight="1" outlineLevel="3">
      <c r="A121" s="147"/>
      <c r="B121" s="147"/>
      <c r="C121" s="147">
        <v>4</v>
      </c>
      <c r="D121" s="167" t="s">
        <v>1684</v>
      </c>
      <c r="E121" s="148"/>
      <c r="F121" s="148"/>
      <c r="G121" s="148"/>
      <c r="H121" s="148" t="s">
        <v>1608</v>
      </c>
      <c r="I121" s="148"/>
      <c r="J121" s="148"/>
      <c r="K121" s="220"/>
      <c r="L121" s="148"/>
      <c r="M121" s="148"/>
      <c r="N121" s="220"/>
      <c r="O121" s="148"/>
      <c r="P121" s="149">
        <v>44846</v>
      </c>
      <c r="Q121" s="149">
        <v>44886</v>
      </c>
      <c r="R121" s="148"/>
      <c r="S121" s="150">
        <v>29</v>
      </c>
      <c r="T121" s="150">
        <v>29</v>
      </c>
      <c r="U121" s="150">
        <v>29</v>
      </c>
      <c r="V121" s="150">
        <v>29</v>
      </c>
      <c r="W121" s="149"/>
      <c r="X121" s="149"/>
      <c r="Y121" s="151"/>
      <c r="Z121" s="152">
        <v>0</v>
      </c>
      <c r="AA121" s="150"/>
      <c r="AB121" s="148" t="s">
        <v>1847</v>
      </c>
      <c r="AC121" s="153"/>
      <c r="AD121" s="166">
        <v>1</v>
      </c>
      <c r="AE121" s="176">
        <v>1</v>
      </c>
      <c r="AF121" s="172"/>
      <c r="AG121" s="173"/>
      <c r="AH121" s="173"/>
      <c r="AI121" s="173"/>
      <c r="AJ121" s="173"/>
      <c r="AK121" s="173"/>
      <c r="AL121" s="173"/>
      <c r="AM121" s="173"/>
      <c r="AN121" s="173"/>
      <c r="AO121" s="173"/>
      <c r="AP121" s="173"/>
      <c r="AQ121" s="173" t="str">
        <f>"  " &amp; TEXT(AE121,"#0.00%") &amp; " " &amp; "클라이언트 송신" &amp; "(편성윤)" &amp; " " &amp; IF(P121="","",TEXT(P121,"M/D-")) &amp; IF(Q121="","",TEXT(Q121,"M/D")) &amp; " "</f>
        <v xml:space="preserve">  100.00% 클라이언트 송신(편성윤) 10/12-11/21 </v>
      </c>
      <c r="AR121" s="173"/>
      <c r="AS121" s="173"/>
    </row>
    <row r="122" spans="1:45" ht="12" customHeight="1" outlineLevel="3">
      <c r="A122" s="147"/>
      <c r="B122" s="147"/>
      <c r="C122" s="147">
        <v>4</v>
      </c>
      <c r="D122" s="167" t="s">
        <v>1685</v>
      </c>
      <c r="E122" s="148"/>
      <c r="F122" s="148"/>
      <c r="G122" s="148"/>
      <c r="H122" s="148" t="s">
        <v>1609</v>
      </c>
      <c r="I122" s="148"/>
      <c r="J122" s="148"/>
      <c r="K122" s="220"/>
      <c r="L122" s="148"/>
      <c r="M122" s="148"/>
      <c r="N122" s="220"/>
      <c r="O122" s="148"/>
      <c r="P122" s="149">
        <v>44846</v>
      </c>
      <c r="Q122" s="149">
        <v>44886</v>
      </c>
      <c r="R122" s="148"/>
      <c r="S122" s="150">
        <v>29</v>
      </c>
      <c r="T122" s="150">
        <v>29</v>
      </c>
      <c r="U122" s="150">
        <v>29</v>
      </c>
      <c r="V122" s="150">
        <v>29</v>
      </c>
      <c r="W122" s="149"/>
      <c r="X122" s="149"/>
      <c r="Y122" s="151"/>
      <c r="Z122" s="152">
        <v>0</v>
      </c>
      <c r="AA122" s="150"/>
      <c r="AB122" s="148" t="s">
        <v>1847</v>
      </c>
      <c r="AC122" s="153"/>
      <c r="AD122" s="166">
        <v>1</v>
      </c>
      <c r="AE122" s="176">
        <v>1</v>
      </c>
      <c r="AF122" s="172"/>
      <c r="AG122" s="173"/>
      <c r="AH122" s="173"/>
      <c r="AI122" s="173"/>
      <c r="AJ122" s="173"/>
      <c r="AK122" s="173"/>
      <c r="AL122" s="173"/>
      <c r="AM122" s="173"/>
      <c r="AN122" s="173"/>
      <c r="AO122" s="173"/>
      <c r="AP122" s="173"/>
      <c r="AQ122" s="173" t="str">
        <f>"  " &amp; TEXT(AE122,"#0.00%") &amp; " " &amp; "서버 수신" &amp; "(편성윤)" &amp; " " &amp; IF(P122="","",TEXT(P122,"M/D-")) &amp; IF(Q122="","",TEXT(Q122,"M/D")) &amp; " "</f>
        <v xml:space="preserve">  100.00% 서버 수신(편성윤) 10/12-11/21 </v>
      </c>
      <c r="AR122" s="173"/>
      <c r="AS122" s="173"/>
    </row>
    <row r="123" spans="1:45" ht="12" customHeight="1" outlineLevel="3">
      <c r="A123" s="147"/>
      <c r="B123" s="147"/>
      <c r="C123" s="147">
        <v>4</v>
      </c>
      <c r="D123" s="167" t="s">
        <v>1727</v>
      </c>
      <c r="E123" s="148"/>
      <c r="F123" s="148"/>
      <c r="G123" s="148"/>
      <c r="H123" s="148" t="s">
        <v>1708</v>
      </c>
      <c r="I123" s="148"/>
      <c r="J123" s="148"/>
      <c r="K123" s="220"/>
      <c r="L123" s="148"/>
      <c r="M123" s="148"/>
      <c r="N123" s="220"/>
      <c r="O123" s="148"/>
      <c r="P123" s="149">
        <v>44846</v>
      </c>
      <c r="Q123" s="149">
        <v>44886</v>
      </c>
      <c r="R123" s="148"/>
      <c r="S123" s="150">
        <v>29</v>
      </c>
      <c r="T123" s="150">
        <v>29</v>
      </c>
      <c r="U123" s="150">
        <v>29</v>
      </c>
      <c r="V123" s="150">
        <v>29</v>
      </c>
      <c r="W123" s="149"/>
      <c r="X123" s="149"/>
      <c r="Y123" s="151"/>
      <c r="Z123" s="152">
        <v>0</v>
      </c>
      <c r="AA123" s="150"/>
      <c r="AB123" s="148" t="s">
        <v>1847</v>
      </c>
      <c r="AC123" s="153"/>
      <c r="AD123" s="166">
        <v>1</v>
      </c>
      <c r="AE123" s="176">
        <v>1</v>
      </c>
      <c r="AF123" s="172"/>
      <c r="AG123" s="173"/>
      <c r="AH123" s="173"/>
      <c r="AI123" s="173"/>
      <c r="AJ123" s="173"/>
      <c r="AK123" s="173"/>
      <c r="AL123" s="173"/>
      <c r="AM123" s="173"/>
      <c r="AN123" s="173"/>
      <c r="AO123" s="173"/>
      <c r="AP123" s="173"/>
      <c r="AQ123" s="173" t="str">
        <f>"  " &amp; TEXT(AE123,"#0.00%") &amp; " " &amp; "교수 화면 캡쳐기능" &amp; "(편성윤)" &amp; " " &amp; IF(P123="","",TEXT(P123,"M/D-")) &amp; IF(Q123="","",TEXT(Q123,"M/D")) &amp; " "</f>
        <v xml:space="preserve">  100.00% 교수 화면 캡쳐기능(편성윤) 10/12-11/21 </v>
      </c>
      <c r="AR123" s="173"/>
      <c r="AS123" s="173"/>
    </row>
    <row r="124" spans="1:45" ht="12" customHeight="1" outlineLevel="2">
      <c r="A124" s="147"/>
      <c r="B124" s="147" t="s">
        <v>1353</v>
      </c>
      <c r="C124" s="147">
        <v>3</v>
      </c>
      <c r="D124" s="167" t="s">
        <v>1728</v>
      </c>
      <c r="E124" s="148"/>
      <c r="F124" s="148"/>
      <c r="G124" s="148" t="s">
        <v>1709</v>
      </c>
      <c r="H124" s="148"/>
      <c r="I124" s="148"/>
      <c r="J124" s="148"/>
      <c r="K124" s="220"/>
      <c r="L124" s="148"/>
      <c r="M124" s="148"/>
      <c r="N124" s="220"/>
      <c r="O124" s="148"/>
      <c r="P124" s="149">
        <v>44846</v>
      </c>
      <c r="Q124" s="149">
        <v>44886</v>
      </c>
      <c r="R124" s="148"/>
      <c r="S124" s="150">
        <v>87</v>
      </c>
      <c r="T124" s="150">
        <v>87</v>
      </c>
      <c r="U124" s="150">
        <v>29</v>
      </c>
      <c r="V124" s="150">
        <v>29</v>
      </c>
      <c r="W124" s="149"/>
      <c r="X124" s="149"/>
      <c r="Y124" s="151">
        <v>0</v>
      </c>
      <c r="Z124" s="152">
        <v>0</v>
      </c>
      <c r="AA124" s="150"/>
      <c r="AB124" s="148"/>
      <c r="AC124" s="153"/>
      <c r="AD124" s="166">
        <v>1</v>
      </c>
      <c r="AE124" s="211">
        <v>1</v>
      </c>
      <c r="AF124" s="172"/>
      <c r="AG124" s="173"/>
      <c r="AH124" s="173"/>
      <c r="AI124" s="173"/>
      <c r="AJ124" s="173"/>
      <c r="AK124" s="173"/>
      <c r="AL124" s="173"/>
      <c r="AM124" s="173"/>
      <c r="AN124" s="173"/>
      <c r="AO124" s="173"/>
      <c r="AP124" s="173"/>
      <c r="AQ124" s="173" t="str">
        <f>"  " &amp; TEXT(AE124,"#0.00%") &amp; " " &amp; "구글 드라이브" &amp; " " &amp; IF(P124="","",TEXT(P124,"M/D-")) &amp; IF(Q124="","",TEXT(Q124,"M/D")) &amp; " "</f>
        <v xml:space="preserve">  100.00% 구글 드라이브 10/12-11/21 </v>
      </c>
      <c r="AR124" s="173"/>
      <c r="AS124" s="173"/>
    </row>
    <row r="125" spans="1:45" ht="12" customHeight="1" outlineLevel="3">
      <c r="A125" s="147"/>
      <c r="B125" s="147"/>
      <c r="C125" s="147">
        <v>4</v>
      </c>
      <c r="D125" s="167" t="s">
        <v>1729</v>
      </c>
      <c r="E125" s="148"/>
      <c r="F125" s="148"/>
      <c r="G125" s="148"/>
      <c r="H125" s="148" t="s">
        <v>1710</v>
      </c>
      <c r="I125" s="148"/>
      <c r="J125" s="148"/>
      <c r="K125" s="220"/>
      <c r="L125" s="148"/>
      <c r="M125" s="148"/>
      <c r="N125" s="220"/>
      <c r="O125" s="148"/>
      <c r="P125" s="149">
        <v>44846</v>
      </c>
      <c r="Q125" s="149">
        <v>44886</v>
      </c>
      <c r="R125" s="148"/>
      <c r="S125" s="150">
        <v>29</v>
      </c>
      <c r="T125" s="150">
        <v>29</v>
      </c>
      <c r="U125" s="150">
        <v>29</v>
      </c>
      <c r="V125" s="150">
        <v>29</v>
      </c>
      <c r="W125" s="149"/>
      <c r="X125" s="149"/>
      <c r="Y125" s="151"/>
      <c r="Z125" s="152">
        <v>0</v>
      </c>
      <c r="AA125" s="150"/>
      <c r="AB125" s="148" t="s">
        <v>1847</v>
      </c>
      <c r="AC125" s="153"/>
      <c r="AD125" s="166">
        <v>1</v>
      </c>
      <c r="AE125" s="176">
        <v>1</v>
      </c>
      <c r="AF125" s="172"/>
      <c r="AG125" s="173"/>
      <c r="AH125" s="173"/>
      <c r="AI125" s="173"/>
      <c r="AJ125" s="173"/>
      <c r="AK125" s="173"/>
      <c r="AL125" s="173"/>
      <c r="AM125" s="173"/>
      <c r="AN125" s="173"/>
      <c r="AO125" s="173"/>
      <c r="AP125" s="173"/>
      <c r="AQ125" s="173" t="str">
        <f>"  " &amp; TEXT(AE125,"#0.00%") &amp; " " &amp; "로그인" &amp; "(편성윤)" &amp; " " &amp; IF(P125="","",TEXT(P125,"M/D-")) &amp; IF(Q125="","",TEXT(Q125,"M/D")) &amp; " "</f>
        <v xml:space="preserve">  100.00% 로그인(편성윤) 10/12-11/21 </v>
      </c>
      <c r="AR125" s="173"/>
      <c r="AS125" s="173"/>
    </row>
    <row r="126" spans="1:45" ht="12" customHeight="1" outlineLevel="3">
      <c r="A126" s="147"/>
      <c r="B126" s="147"/>
      <c r="C126" s="147">
        <v>4</v>
      </c>
      <c r="D126" s="167" t="s">
        <v>1730</v>
      </c>
      <c r="E126" s="148"/>
      <c r="F126" s="148"/>
      <c r="G126" s="148"/>
      <c r="H126" s="148" t="s">
        <v>1711</v>
      </c>
      <c r="I126" s="148"/>
      <c r="J126" s="148"/>
      <c r="K126" s="220"/>
      <c r="L126" s="148"/>
      <c r="M126" s="148"/>
      <c r="N126" s="220"/>
      <c r="O126" s="148"/>
      <c r="P126" s="149">
        <v>44846</v>
      </c>
      <c r="Q126" s="149">
        <v>44886</v>
      </c>
      <c r="R126" s="148"/>
      <c r="S126" s="150">
        <v>29</v>
      </c>
      <c r="T126" s="150">
        <v>29</v>
      </c>
      <c r="U126" s="150">
        <v>29</v>
      </c>
      <c r="V126" s="150">
        <v>29</v>
      </c>
      <c r="W126" s="149"/>
      <c r="X126" s="149"/>
      <c r="Y126" s="151"/>
      <c r="Z126" s="152">
        <v>0</v>
      </c>
      <c r="AA126" s="150"/>
      <c r="AB126" s="148" t="s">
        <v>1847</v>
      </c>
      <c r="AC126" s="153"/>
      <c r="AD126" s="166">
        <v>1</v>
      </c>
      <c r="AE126" s="176">
        <v>1</v>
      </c>
      <c r="AF126" s="172"/>
      <c r="AG126" s="173"/>
      <c r="AH126" s="173"/>
      <c r="AI126" s="173"/>
      <c r="AJ126" s="173"/>
      <c r="AK126" s="173"/>
      <c r="AL126" s="173"/>
      <c r="AM126" s="173"/>
      <c r="AN126" s="173"/>
      <c r="AO126" s="173"/>
      <c r="AP126" s="173"/>
      <c r="AQ126" s="173" t="str">
        <f>"  " &amp; TEXT(AE126,"#0.00%") &amp; " " &amp; "드라이브 저장" &amp; "(편성윤)" &amp; " " &amp; IF(P126="","",TEXT(P126,"M/D-")) &amp; IF(Q126="","",TEXT(Q126,"M/D")) &amp; " "</f>
        <v xml:space="preserve">  100.00% 드라이브 저장(편성윤) 10/12-11/21 </v>
      </c>
      <c r="AR126" s="173"/>
      <c r="AS126" s="173"/>
    </row>
    <row r="127" spans="1:45" ht="12" customHeight="1" outlineLevel="3">
      <c r="A127" s="147"/>
      <c r="B127" s="147"/>
      <c r="C127" s="147">
        <v>4</v>
      </c>
      <c r="D127" s="167" t="s">
        <v>1731</v>
      </c>
      <c r="E127" s="148"/>
      <c r="F127" s="148"/>
      <c r="G127" s="148"/>
      <c r="H127" s="148" t="s">
        <v>1720</v>
      </c>
      <c r="I127" s="148"/>
      <c r="J127" s="148"/>
      <c r="K127" s="220"/>
      <c r="L127" s="148"/>
      <c r="M127" s="148"/>
      <c r="N127" s="220"/>
      <c r="O127" s="148"/>
      <c r="P127" s="149">
        <v>44846</v>
      </c>
      <c r="Q127" s="149">
        <v>44886</v>
      </c>
      <c r="R127" s="148"/>
      <c r="S127" s="150">
        <v>29</v>
      </c>
      <c r="T127" s="150">
        <v>29</v>
      </c>
      <c r="U127" s="150">
        <v>29</v>
      </c>
      <c r="V127" s="150">
        <v>29</v>
      </c>
      <c r="W127" s="149"/>
      <c r="X127" s="149"/>
      <c r="Y127" s="151"/>
      <c r="Z127" s="152">
        <v>0</v>
      </c>
      <c r="AA127" s="150"/>
      <c r="AB127" s="148" t="s">
        <v>1847</v>
      </c>
      <c r="AC127" s="153"/>
      <c r="AD127" s="166">
        <v>1</v>
      </c>
      <c r="AE127" s="176">
        <v>1</v>
      </c>
      <c r="AF127" s="172"/>
      <c r="AG127" s="173"/>
      <c r="AH127" s="173"/>
      <c r="AI127" s="173"/>
      <c r="AJ127" s="173"/>
      <c r="AK127" s="173"/>
      <c r="AL127" s="173"/>
      <c r="AM127" s="173"/>
      <c r="AN127" s="173"/>
      <c r="AO127" s="173"/>
      <c r="AP127" s="173"/>
      <c r="AQ127" s="173" t="str">
        <f>"  " &amp; TEXT(AE127,"#0.00%") &amp; " " &amp; "드라이브 페이지 열기" &amp; "(편성윤)" &amp; " " &amp; IF(P127="","",TEXT(P127,"M/D-")) &amp; IF(Q127="","",TEXT(Q127,"M/D")) &amp; " "</f>
        <v xml:space="preserve">  100.00% 드라이브 페이지 열기(편성윤) 10/12-11/21 </v>
      </c>
      <c r="AR127" s="173"/>
      <c r="AS127" s="173"/>
    </row>
    <row r="128" spans="1:45" ht="12" customHeight="1" outlineLevel="1">
      <c r="A128" s="147"/>
      <c r="B128" s="147" t="s">
        <v>1353</v>
      </c>
      <c r="C128" s="147">
        <v>2</v>
      </c>
      <c r="D128" s="167" t="s">
        <v>1686</v>
      </c>
      <c r="E128" s="148"/>
      <c r="F128" s="148" t="s">
        <v>1553</v>
      </c>
      <c r="G128" s="148"/>
      <c r="H128" s="148"/>
      <c r="I128" s="148"/>
      <c r="J128" s="148"/>
      <c r="K128" s="220"/>
      <c r="L128" s="148"/>
      <c r="M128" s="148"/>
      <c r="N128" s="220"/>
      <c r="O128" s="148"/>
      <c r="P128" s="149">
        <v>44832</v>
      </c>
      <c r="Q128" s="149">
        <v>44886</v>
      </c>
      <c r="R128" s="148"/>
      <c r="S128" s="150">
        <v>422</v>
      </c>
      <c r="T128" s="150">
        <v>422</v>
      </c>
      <c r="U128" s="150">
        <v>37</v>
      </c>
      <c r="V128" s="150">
        <v>37</v>
      </c>
      <c r="W128" s="149"/>
      <c r="X128" s="149"/>
      <c r="Y128" s="151">
        <v>0</v>
      </c>
      <c r="Z128" s="152">
        <v>0</v>
      </c>
      <c r="AA128" s="150"/>
      <c r="AB128" s="148"/>
      <c r="AC128" s="153"/>
      <c r="AD128" s="166">
        <v>1</v>
      </c>
      <c r="AE128" s="211">
        <v>1</v>
      </c>
      <c r="AF128" s="172"/>
      <c r="AG128" s="173"/>
      <c r="AH128" s="173"/>
      <c r="AI128" s="173"/>
      <c r="AJ128" s="173"/>
      <c r="AK128" s="173"/>
      <c r="AL128" s="173"/>
      <c r="AM128" s="173"/>
      <c r="AN128" s="173"/>
      <c r="AO128" s="173"/>
      <c r="AP128" s="173"/>
      <c r="AQ128" s="173" t="str">
        <f>"  " &amp; TEXT(AE128,"#0.00%") &amp; " " &amp; "서버" &amp; " " &amp; IF(P128="","",TEXT(P128,"M/D-")) &amp; IF(Q128="","",TEXT(Q128,"M/D")) &amp; " "</f>
        <v xml:space="preserve">  100.00% 서버 9/28-11/21 </v>
      </c>
      <c r="AR128" s="173"/>
      <c r="AS128" s="173"/>
    </row>
    <row r="129" spans="1:45" ht="12" customHeight="1" outlineLevel="2">
      <c r="A129" s="147"/>
      <c r="B129" s="147" t="s">
        <v>1353</v>
      </c>
      <c r="C129" s="147">
        <v>3</v>
      </c>
      <c r="D129" s="167" t="s">
        <v>1687</v>
      </c>
      <c r="E129" s="148"/>
      <c r="F129" s="148"/>
      <c r="G129" s="148" t="s">
        <v>1598</v>
      </c>
      <c r="H129" s="148"/>
      <c r="I129" s="148"/>
      <c r="J129" s="148"/>
      <c r="K129" s="220"/>
      <c r="L129" s="148"/>
      <c r="M129" s="148"/>
      <c r="N129" s="220"/>
      <c r="O129" s="148"/>
      <c r="P129" s="149">
        <v>44832</v>
      </c>
      <c r="Q129" s="149">
        <v>44846</v>
      </c>
      <c r="R129" s="148"/>
      <c r="S129" s="150">
        <v>18</v>
      </c>
      <c r="T129" s="150">
        <v>18</v>
      </c>
      <c r="U129" s="150">
        <v>9</v>
      </c>
      <c r="V129" s="150">
        <v>9</v>
      </c>
      <c r="W129" s="149"/>
      <c r="X129" s="149"/>
      <c r="Y129" s="151">
        <v>0</v>
      </c>
      <c r="Z129" s="152">
        <v>0</v>
      </c>
      <c r="AA129" s="150"/>
      <c r="AB129" s="148"/>
      <c r="AC129" s="153"/>
      <c r="AD129" s="166">
        <v>1</v>
      </c>
      <c r="AE129" s="211">
        <v>1</v>
      </c>
      <c r="AF129" s="172"/>
      <c r="AG129" s="173"/>
      <c r="AH129" s="173"/>
      <c r="AI129" s="173"/>
      <c r="AJ129" s="173"/>
      <c r="AK129" s="173" t="str">
        <f>"    " &amp; TEXT(AE129,"#0.00%") &amp; " " &amp; "채팅" &amp; " " &amp; IF(P129="","",TEXT(P129,"M/D-")) &amp; IF(Q129="","",TEXT(Q129,"M/D")) &amp; " "</f>
        <v xml:space="preserve">    100.00% 채팅 9/28-10/12 </v>
      </c>
      <c r="AL129" s="173"/>
      <c r="AM129" s="173"/>
      <c r="AN129" s="173"/>
      <c r="AO129" s="173"/>
      <c r="AP129" s="173"/>
      <c r="AQ129" s="173"/>
      <c r="AR129" s="173"/>
      <c r="AS129" s="173"/>
    </row>
    <row r="130" spans="1:45" ht="12" customHeight="1" outlineLevel="3">
      <c r="A130" s="147"/>
      <c r="B130" s="147"/>
      <c r="C130" s="147">
        <v>4</v>
      </c>
      <c r="D130" s="167" t="s">
        <v>1688</v>
      </c>
      <c r="E130" s="148"/>
      <c r="F130" s="148"/>
      <c r="G130" s="148"/>
      <c r="H130" s="148" t="s">
        <v>1599</v>
      </c>
      <c r="I130" s="148"/>
      <c r="J130" s="148"/>
      <c r="K130" s="220"/>
      <c r="L130" s="148"/>
      <c r="M130" s="148"/>
      <c r="N130" s="220"/>
      <c r="O130" s="148"/>
      <c r="P130" s="149">
        <v>44832</v>
      </c>
      <c r="Q130" s="149">
        <v>44846</v>
      </c>
      <c r="R130" s="148"/>
      <c r="S130" s="150">
        <v>9</v>
      </c>
      <c r="T130" s="150">
        <v>9</v>
      </c>
      <c r="U130" s="150">
        <v>9</v>
      </c>
      <c r="V130" s="150">
        <v>9</v>
      </c>
      <c r="W130" s="149"/>
      <c r="X130" s="149"/>
      <c r="Y130" s="151"/>
      <c r="Z130" s="152">
        <v>0</v>
      </c>
      <c r="AA130" s="150"/>
      <c r="AB130" s="148" t="s">
        <v>1569</v>
      </c>
      <c r="AC130" s="153"/>
      <c r="AD130" s="166">
        <v>1</v>
      </c>
      <c r="AE130" s="176">
        <v>1</v>
      </c>
      <c r="AF130" s="172"/>
      <c r="AG130" s="173"/>
      <c r="AH130" s="173"/>
      <c r="AI130" s="173"/>
      <c r="AJ130" s="173"/>
      <c r="AK130" s="173" t="str">
        <f>"    " &amp; TEXT(AE130,"#0.00%") &amp; " " &amp; "전체" &amp; "(이태양)" &amp; " " &amp; IF(P130="","",TEXT(P130,"M/D-")) &amp; IF(Q130="","",TEXT(Q130,"M/D")) &amp; " "</f>
        <v xml:space="preserve">    100.00% 전체(이태양) 9/28-10/12 </v>
      </c>
      <c r="AL130" s="173"/>
      <c r="AM130" s="173"/>
      <c r="AN130" s="173"/>
      <c r="AO130" s="173"/>
      <c r="AP130" s="173"/>
      <c r="AQ130" s="173"/>
      <c r="AR130" s="173"/>
      <c r="AS130" s="173"/>
    </row>
    <row r="131" spans="1:45" ht="12" customHeight="1" outlineLevel="3">
      <c r="A131" s="147"/>
      <c r="B131" s="147"/>
      <c r="C131" s="147">
        <v>4</v>
      </c>
      <c r="D131" s="167" t="s">
        <v>1689</v>
      </c>
      <c r="E131" s="148"/>
      <c r="F131" s="148"/>
      <c r="G131" s="148"/>
      <c r="H131" s="148" t="s">
        <v>1600</v>
      </c>
      <c r="I131" s="148"/>
      <c r="J131" s="148"/>
      <c r="K131" s="148"/>
      <c r="L131" s="148"/>
      <c r="M131" s="148"/>
      <c r="N131" s="220"/>
      <c r="O131" s="148"/>
      <c r="P131" s="149">
        <v>44832</v>
      </c>
      <c r="Q131" s="149">
        <v>44846</v>
      </c>
      <c r="R131" s="148"/>
      <c r="S131" s="150">
        <v>9</v>
      </c>
      <c r="T131" s="150">
        <v>9</v>
      </c>
      <c r="U131" s="150">
        <v>9</v>
      </c>
      <c r="V131" s="150">
        <v>9</v>
      </c>
      <c r="W131" s="149"/>
      <c r="X131" s="149"/>
      <c r="Y131" s="151"/>
      <c r="Z131" s="152">
        <v>0</v>
      </c>
      <c r="AA131" s="150"/>
      <c r="AB131" s="148" t="s">
        <v>1569</v>
      </c>
      <c r="AC131" s="153"/>
      <c r="AD131" s="166">
        <v>1</v>
      </c>
      <c r="AE131" s="176">
        <v>1</v>
      </c>
      <c r="AF131" s="172"/>
      <c r="AG131" s="173"/>
      <c r="AH131" s="173"/>
      <c r="AI131" s="173"/>
      <c r="AJ131" s="173"/>
      <c r="AK131" s="173" t="str">
        <f>"    " &amp; TEXT(AE131,"#0.00%") &amp; " " &amp; "귓속말" &amp; "(이태양)" &amp; " " &amp; IF(P131="","",TEXT(P131,"M/D-")) &amp; IF(Q131="","",TEXT(Q131,"M/D")) &amp; " "</f>
        <v xml:space="preserve">    100.00% 귓속말(이태양) 9/28-10/12 </v>
      </c>
      <c r="AL131" s="173"/>
      <c r="AM131" s="173"/>
      <c r="AN131" s="173"/>
      <c r="AO131" s="173"/>
      <c r="AP131" s="173"/>
      <c r="AQ131" s="173"/>
      <c r="AR131" s="173"/>
      <c r="AS131" s="173"/>
    </row>
    <row r="132" spans="1:45" ht="12" customHeight="1" outlineLevel="2">
      <c r="A132" s="147"/>
      <c r="B132" s="147" t="s">
        <v>1353</v>
      </c>
      <c r="C132" s="147">
        <v>3</v>
      </c>
      <c r="D132" s="167" t="s">
        <v>1690</v>
      </c>
      <c r="E132" s="148"/>
      <c r="F132" s="148"/>
      <c r="G132" s="148" t="s">
        <v>1601</v>
      </c>
      <c r="H132" s="148"/>
      <c r="I132" s="148"/>
      <c r="J132" s="148"/>
      <c r="K132" s="148"/>
      <c r="L132" s="148"/>
      <c r="M132" s="148"/>
      <c r="N132" s="220"/>
      <c r="O132" s="148"/>
      <c r="P132" s="149">
        <v>44832</v>
      </c>
      <c r="Q132" s="149">
        <v>44886</v>
      </c>
      <c r="R132" s="148"/>
      <c r="S132" s="150">
        <v>172</v>
      </c>
      <c r="T132" s="150">
        <v>172</v>
      </c>
      <c r="U132" s="150">
        <v>37</v>
      </c>
      <c r="V132" s="150">
        <v>37</v>
      </c>
      <c r="W132" s="149"/>
      <c r="X132" s="149"/>
      <c r="Y132" s="151">
        <v>0</v>
      </c>
      <c r="Z132" s="152">
        <v>0</v>
      </c>
      <c r="AA132" s="150"/>
      <c r="AB132" s="148"/>
      <c r="AC132" s="153"/>
      <c r="AD132" s="166">
        <v>1</v>
      </c>
      <c r="AE132" s="211">
        <v>1</v>
      </c>
      <c r="AF132" s="172"/>
      <c r="AG132" s="173"/>
      <c r="AH132" s="173"/>
      <c r="AI132" s="173"/>
      <c r="AJ132" s="173"/>
      <c r="AK132" s="173"/>
      <c r="AL132" s="173"/>
      <c r="AM132" s="173"/>
      <c r="AN132" s="173"/>
      <c r="AO132" s="173"/>
      <c r="AP132" s="173"/>
      <c r="AQ132" s="173" t="str">
        <f>"  " &amp; TEXT(AE132,"#0.00%") &amp; " " &amp; "질문" &amp; " " &amp; IF(P132="","",TEXT(P132,"M/D-")) &amp; IF(Q132="","",TEXT(Q132,"M/D")) &amp; " "</f>
        <v xml:space="preserve">  100.00% 질문 9/28-11/21 </v>
      </c>
      <c r="AR132" s="173"/>
      <c r="AS132" s="173"/>
    </row>
    <row r="133" spans="1:45" ht="12" customHeight="1" outlineLevel="3">
      <c r="A133" s="147" t="s">
        <v>1612</v>
      </c>
      <c r="B133" s="147" t="s">
        <v>1353</v>
      </c>
      <c r="C133" s="147">
        <v>4</v>
      </c>
      <c r="D133" s="167" t="s">
        <v>1691</v>
      </c>
      <c r="E133" s="148"/>
      <c r="F133" s="148"/>
      <c r="G133" s="148"/>
      <c r="H133" s="148" t="s">
        <v>1789</v>
      </c>
      <c r="I133" s="148"/>
      <c r="J133" s="148"/>
      <c r="K133" s="148"/>
      <c r="L133" s="148"/>
      <c r="M133" s="148"/>
      <c r="N133" s="220"/>
      <c r="O133" s="148"/>
      <c r="P133" s="149">
        <v>44832</v>
      </c>
      <c r="Q133" s="149">
        <v>44846</v>
      </c>
      <c r="R133" s="148"/>
      <c r="S133" s="150">
        <v>27</v>
      </c>
      <c r="T133" s="150">
        <v>27</v>
      </c>
      <c r="U133" s="150">
        <v>9</v>
      </c>
      <c r="V133" s="150">
        <v>9</v>
      </c>
      <c r="W133" s="149"/>
      <c r="X133" s="149"/>
      <c r="Y133" s="151">
        <v>0</v>
      </c>
      <c r="Z133" s="152">
        <v>0</v>
      </c>
      <c r="AA133" s="150"/>
      <c r="AB133" s="153"/>
      <c r="AC133" s="153"/>
      <c r="AD133" s="166">
        <v>1</v>
      </c>
      <c r="AE133" s="211">
        <v>1</v>
      </c>
      <c r="AF133" s="172"/>
      <c r="AG133" s="173"/>
      <c r="AH133" s="173"/>
      <c r="AI133" s="173"/>
      <c r="AJ133" s="173"/>
      <c r="AK133" s="173" t="str">
        <f>"    " &amp; TEXT(AE133,"#0.00%") &amp; " " &amp; "기본형" &amp; " " &amp; IF(P133="","",TEXT(P133,"M/D-")) &amp; IF(Q133="","",TEXT(Q133,"M/D")) &amp; " "</f>
        <v xml:space="preserve">    100.00% 기본형 9/28-10/12 </v>
      </c>
      <c r="AL133" s="173"/>
      <c r="AM133" s="173"/>
      <c r="AN133" s="173"/>
      <c r="AO133" s="173"/>
      <c r="AP133" s="173"/>
      <c r="AQ133" s="173"/>
      <c r="AR133" s="173"/>
      <c r="AS133" s="173"/>
    </row>
    <row r="134" spans="1:45" ht="12" customHeight="1" outlineLevel="4">
      <c r="A134" s="147"/>
      <c r="B134" s="147"/>
      <c r="C134" s="147">
        <v>5</v>
      </c>
      <c r="D134" s="167" t="s">
        <v>1800</v>
      </c>
      <c r="E134" s="148"/>
      <c r="F134" s="148"/>
      <c r="G134" s="148"/>
      <c r="H134" s="148"/>
      <c r="I134" s="148" t="s">
        <v>1758</v>
      </c>
      <c r="J134" s="148"/>
      <c r="K134" s="148"/>
      <c r="L134" s="148"/>
      <c r="M134" s="148"/>
      <c r="N134" s="220"/>
      <c r="O134" s="148"/>
      <c r="P134" s="149">
        <v>44832</v>
      </c>
      <c r="Q134" s="149">
        <v>44846</v>
      </c>
      <c r="R134" s="148"/>
      <c r="S134" s="150">
        <v>9</v>
      </c>
      <c r="T134" s="150">
        <v>9</v>
      </c>
      <c r="U134" s="150">
        <v>9</v>
      </c>
      <c r="V134" s="150">
        <v>9</v>
      </c>
      <c r="W134" s="149"/>
      <c r="X134" s="149"/>
      <c r="Y134" s="151"/>
      <c r="Z134" s="152">
        <v>0</v>
      </c>
      <c r="AA134" s="150"/>
      <c r="AB134" s="148" t="s">
        <v>1569</v>
      </c>
      <c r="AC134" s="153"/>
      <c r="AD134" s="166">
        <v>1</v>
      </c>
      <c r="AE134" s="176">
        <v>1</v>
      </c>
      <c r="AF134" s="172"/>
      <c r="AG134" s="173"/>
      <c r="AH134" s="173"/>
      <c r="AI134" s="173"/>
      <c r="AJ134" s="173"/>
      <c r="AK134" s="173" t="str">
        <f>"    " &amp; TEXT(AE134,"#0.00%") &amp; " " &amp; "O/X" &amp; "(이태양)" &amp; " " &amp; IF(P134="","",TEXT(P134,"M/D-")) &amp; IF(Q134="","",TEXT(Q134,"M/D")) &amp; " "</f>
        <v xml:space="preserve">    100.00% O/X(이태양) 9/28-10/12 </v>
      </c>
      <c r="AL134" s="173"/>
      <c r="AM134" s="173"/>
      <c r="AN134" s="173"/>
      <c r="AO134" s="173"/>
      <c r="AP134" s="173"/>
      <c r="AQ134" s="173"/>
      <c r="AR134" s="173"/>
      <c r="AS134" s="173"/>
    </row>
    <row r="135" spans="1:45" ht="12" customHeight="1" outlineLevel="4">
      <c r="A135" s="147"/>
      <c r="B135" s="147"/>
      <c r="C135" s="147">
        <v>5</v>
      </c>
      <c r="D135" s="167" t="s">
        <v>1801</v>
      </c>
      <c r="E135" s="148"/>
      <c r="F135" s="148"/>
      <c r="G135" s="148"/>
      <c r="H135" s="148"/>
      <c r="I135" s="148" t="s">
        <v>1602</v>
      </c>
      <c r="J135" s="148"/>
      <c r="K135" s="148"/>
      <c r="L135" s="148"/>
      <c r="M135" s="148"/>
      <c r="N135" s="220"/>
      <c r="O135" s="148"/>
      <c r="P135" s="149">
        <v>44832</v>
      </c>
      <c r="Q135" s="149">
        <v>44846</v>
      </c>
      <c r="R135" s="148"/>
      <c r="S135" s="150">
        <v>9</v>
      </c>
      <c r="T135" s="150">
        <v>9</v>
      </c>
      <c r="U135" s="150">
        <v>9</v>
      </c>
      <c r="V135" s="150">
        <v>9</v>
      </c>
      <c r="W135" s="149"/>
      <c r="X135" s="149"/>
      <c r="Y135" s="151"/>
      <c r="Z135" s="152">
        <v>0</v>
      </c>
      <c r="AA135" s="150"/>
      <c r="AB135" s="148" t="s">
        <v>1569</v>
      </c>
      <c r="AC135" s="153"/>
      <c r="AD135" s="166">
        <v>1</v>
      </c>
      <c r="AE135" s="176">
        <v>1</v>
      </c>
      <c r="AF135" s="172"/>
      <c r="AG135" s="173"/>
      <c r="AH135" s="173"/>
      <c r="AI135" s="173"/>
      <c r="AJ135" s="173"/>
      <c r="AK135" s="173" t="str">
        <f>"    " &amp; TEXT(AE135,"#0.00%") &amp; " " &amp; "객관식" &amp; "(이태양)" &amp; " " &amp; IF(P135="","",TEXT(P135,"M/D-")) &amp; IF(Q135="","",TEXT(Q135,"M/D")) &amp; " "</f>
        <v xml:space="preserve">    100.00% 객관식(이태양) 9/28-10/12 </v>
      </c>
      <c r="AL135" s="173"/>
      <c r="AM135" s="173"/>
      <c r="AN135" s="173"/>
      <c r="AO135" s="173"/>
      <c r="AP135" s="173"/>
      <c r="AQ135" s="173"/>
      <c r="AR135" s="173"/>
      <c r="AS135" s="173"/>
    </row>
    <row r="136" spans="1:45" ht="12" customHeight="1" outlineLevel="4">
      <c r="A136" s="147"/>
      <c r="B136" s="147"/>
      <c r="C136" s="147">
        <v>5</v>
      </c>
      <c r="D136" s="167" t="s">
        <v>1802</v>
      </c>
      <c r="E136" s="148"/>
      <c r="F136" s="148"/>
      <c r="G136" s="148"/>
      <c r="H136" s="148"/>
      <c r="I136" s="148" t="s">
        <v>1717</v>
      </c>
      <c r="J136" s="148"/>
      <c r="K136" s="148"/>
      <c r="L136" s="148"/>
      <c r="M136" s="148"/>
      <c r="N136" s="220"/>
      <c r="O136" s="148"/>
      <c r="P136" s="149">
        <v>44832</v>
      </c>
      <c r="Q136" s="149">
        <v>44846</v>
      </c>
      <c r="R136" s="148"/>
      <c r="S136" s="150">
        <v>9</v>
      </c>
      <c r="T136" s="150">
        <v>9</v>
      </c>
      <c r="U136" s="150">
        <v>9</v>
      </c>
      <c r="V136" s="150">
        <v>9</v>
      </c>
      <c r="W136" s="149"/>
      <c r="X136" s="149"/>
      <c r="Y136" s="151"/>
      <c r="Z136" s="152">
        <v>0</v>
      </c>
      <c r="AA136" s="150"/>
      <c r="AB136" s="148" t="s">
        <v>1569</v>
      </c>
      <c r="AC136" s="153"/>
      <c r="AD136" s="166">
        <v>1</v>
      </c>
      <c r="AE136" s="176">
        <v>1</v>
      </c>
      <c r="AF136" s="172"/>
      <c r="AG136" s="173"/>
      <c r="AH136" s="173"/>
      <c r="AI136" s="173"/>
      <c r="AJ136" s="173"/>
      <c r="AK136" s="173" t="str">
        <f>"    " &amp; TEXT(AE136,"#0.00%") &amp; " " &amp; "주관식" &amp; "(이태양)" &amp; " " &amp; IF(P136="","",TEXT(P136,"M/D-")) &amp; IF(Q136="","",TEXT(Q136,"M/D")) &amp; " "</f>
        <v xml:space="preserve">    100.00% 주관식(이태양) 9/28-10/12 </v>
      </c>
      <c r="AL136" s="173"/>
      <c r="AM136" s="173"/>
      <c r="AN136" s="173"/>
      <c r="AO136" s="173"/>
      <c r="AP136" s="173"/>
      <c r="AQ136" s="173"/>
      <c r="AR136" s="173"/>
      <c r="AS136" s="173"/>
    </row>
    <row r="137" spans="1:45" ht="12" customHeight="1" outlineLevel="3">
      <c r="A137" s="147"/>
      <c r="B137" s="147" t="s">
        <v>1353</v>
      </c>
      <c r="C137" s="147">
        <v>4</v>
      </c>
      <c r="D137" s="167" t="s">
        <v>1692</v>
      </c>
      <c r="E137" s="148"/>
      <c r="F137" s="148"/>
      <c r="G137" s="148"/>
      <c r="H137" s="148" t="s">
        <v>1716</v>
      </c>
      <c r="I137" s="148"/>
      <c r="J137" s="148"/>
      <c r="K137" s="148"/>
      <c r="L137" s="148"/>
      <c r="M137" s="148"/>
      <c r="N137" s="220"/>
      <c r="O137" s="148"/>
      <c r="P137" s="149">
        <v>44846</v>
      </c>
      <c r="Q137" s="149">
        <v>44886</v>
      </c>
      <c r="R137" s="148"/>
      <c r="S137" s="150">
        <v>87</v>
      </c>
      <c r="T137" s="150">
        <v>87</v>
      </c>
      <c r="U137" s="150">
        <v>29</v>
      </c>
      <c r="V137" s="150">
        <v>29</v>
      </c>
      <c r="W137" s="149"/>
      <c r="X137" s="149"/>
      <c r="Y137" s="151">
        <v>0</v>
      </c>
      <c r="Z137" s="152">
        <v>0</v>
      </c>
      <c r="AA137" s="150"/>
      <c r="AB137" s="148"/>
      <c r="AC137" s="153"/>
      <c r="AD137" s="166">
        <v>1</v>
      </c>
      <c r="AE137" s="211">
        <v>1</v>
      </c>
      <c r="AF137" s="172"/>
      <c r="AG137" s="173"/>
      <c r="AH137" s="173"/>
      <c r="AI137" s="173"/>
      <c r="AJ137" s="173"/>
      <c r="AK137" s="173"/>
      <c r="AL137" s="173"/>
      <c r="AM137" s="173"/>
      <c r="AN137" s="173"/>
      <c r="AO137" s="173"/>
      <c r="AP137" s="173"/>
      <c r="AQ137" s="173" t="str">
        <f>"  " &amp; TEXT(AE137,"#0.00%") &amp; " " &amp; "스피드 게임형" &amp; " " &amp; IF(P137="","",TEXT(P137,"M/D-")) &amp; IF(Q137="","",TEXT(Q137,"M/D")) &amp; " "</f>
        <v xml:space="preserve">  100.00% 스피드 게임형 10/12-11/21 </v>
      </c>
      <c r="AR137" s="173"/>
      <c r="AS137" s="173"/>
    </row>
    <row r="138" spans="1:45" ht="12" customHeight="1" outlineLevel="4">
      <c r="A138" s="147"/>
      <c r="B138" s="147"/>
      <c r="C138" s="147">
        <v>5</v>
      </c>
      <c r="D138" s="167" t="s">
        <v>1803</v>
      </c>
      <c r="E138" s="148"/>
      <c r="F138" s="148"/>
      <c r="G138" s="148"/>
      <c r="H138" s="148"/>
      <c r="I138" s="148" t="s">
        <v>1758</v>
      </c>
      <c r="J138" s="148"/>
      <c r="K138" s="148"/>
      <c r="L138" s="148"/>
      <c r="M138" s="148"/>
      <c r="N138" s="220"/>
      <c r="O138" s="148"/>
      <c r="P138" s="149">
        <v>44846</v>
      </c>
      <c r="Q138" s="149">
        <v>44886</v>
      </c>
      <c r="R138" s="148"/>
      <c r="S138" s="150">
        <v>29</v>
      </c>
      <c r="T138" s="150">
        <v>29</v>
      </c>
      <c r="U138" s="150">
        <v>29</v>
      </c>
      <c r="V138" s="150">
        <v>29</v>
      </c>
      <c r="W138" s="149"/>
      <c r="X138" s="149"/>
      <c r="Y138" s="151"/>
      <c r="Z138" s="152">
        <v>0</v>
      </c>
      <c r="AA138" s="150"/>
      <c r="AB138" s="148" t="s">
        <v>1569</v>
      </c>
      <c r="AC138" s="153"/>
      <c r="AD138" s="166">
        <v>1</v>
      </c>
      <c r="AE138" s="176">
        <v>1</v>
      </c>
      <c r="AF138" s="172"/>
      <c r="AG138" s="173"/>
      <c r="AH138" s="173"/>
      <c r="AI138" s="173"/>
      <c r="AJ138" s="173"/>
      <c r="AK138" s="173"/>
      <c r="AL138" s="173"/>
      <c r="AM138" s="173"/>
      <c r="AN138" s="173"/>
      <c r="AO138" s="173"/>
      <c r="AP138" s="173"/>
      <c r="AQ138" s="173" t="str">
        <f>"  " &amp; TEXT(AE138,"#0.00%") &amp; " " &amp; "O/X" &amp; "(이태양)" &amp; " " &amp; IF(P138="","",TEXT(P138,"M/D-")) &amp; IF(Q138="","",TEXT(Q138,"M/D")) &amp; " "</f>
        <v xml:space="preserve">  100.00% O/X(이태양) 10/12-11/21 </v>
      </c>
      <c r="AR138" s="173"/>
      <c r="AS138" s="173"/>
    </row>
    <row r="139" spans="1:45" ht="12" customHeight="1" outlineLevel="4">
      <c r="A139" s="147"/>
      <c r="B139" s="147"/>
      <c r="C139" s="147">
        <v>5</v>
      </c>
      <c r="D139" s="167" t="s">
        <v>1804</v>
      </c>
      <c r="E139" s="148"/>
      <c r="F139" s="148"/>
      <c r="G139" s="148"/>
      <c r="H139" s="148"/>
      <c r="I139" s="148" t="s">
        <v>1602</v>
      </c>
      <c r="J139" s="148"/>
      <c r="K139" s="148"/>
      <c r="L139" s="148"/>
      <c r="M139" s="148"/>
      <c r="N139" s="220"/>
      <c r="O139" s="148"/>
      <c r="P139" s="149">
        <v>44846</v>
      </c>
      <c r="Q139" s="149">
        <v>44886</v>
      </c>
      <c r="R139" s="148"/>
      <c r="S139" s="150">
        <v>29</v>
      </c>
      <c r="T139" s="150">
        <v>29</v>
      </c>
      <c r="U139" s="150">
        <v>29</v>
      </c>
      <c r="V139" s="150">
        <v>29</v>
      </c>
      <c r="W139" s="149"/>
      <c r="X139" s="149"/>
      <c r="Y139" s="151"/>
      <c r="Z139" s="152">
        <v>0</v>
      </c>
      <c r="AA139" s="150"/>
      <c r="AB139" s="148" t="s">
        <v>1569</v>
      </c>
      <c r="AC139" s="153"/>
      <c r="AD139" s="166">
        <v>1</v>
      </c>
      <c r="AE139" s="176">
        <v>1</v>
      </c>
      <c r="AF139" s="172"/>
      <c r="AG139" s="173"/>
      <c r="AH139" s="173"/>
      <c r="AI139" s="173"/>
      <c r="AJ139" s="173"/>
      <c r="AK139" s="173"/>
      <c r="AL139" s="173"/>
      <c r="AM139" s="173"/>
      <c r="AN139" s="173"/>
      <c r="AO139" s="173"/>
      <c r="AP139" s="173"/>
      <c r="AQ139" s="173" t="str">
        <f>"  " &amp; TEXT(AE139,"#0.00%") &amp; " " &amp; "객관식" &amp; "(이태양)" &amp; " " &amp; IF(P139="","",TEXT(P139,"M/D-")) &amp; IF(Q139="","",TEXT(Q139,"M/D")) &amp; " "</f>
        <v xml:space="preserve">  100.00% 객관식(이태양) 10/12-11/21 </v>
      </c>
      <c r="AR139" s="173"/>
      <c r="AS139" s="173"/>
    </row>
    <row r="140" spans="1:45" ht="12" customHeight="1" outlineLevel="4">
      <c r="A140" s="147"/>
      <c r="B140" s="147"/>
      <c r="C140" s="147">
        <v>5</v>
      </c>
      <c r="D140" s="167" t="s">
        <v>1805</v>
      </c>
      <c r="E140" s="148"/>
      <c r="F140" s="148"/>
      <c r="G140" s="148"/>
      <c r="H140" s="148"/>
      <c r="I140" s="148" t="s">
        <v>1717</v>
      </c>
      <c r="J140" s="148"/>
      <c r="K140" s="148"/>
      <c r="L140" s="148"/>
      <c r="M140" s="148"/>
      <c r="N140" s="220"/>
      <c r="O140" s="148"/>
      <c r="P140" s="149">
        <v>44846</v>
      </c>
      <c r="Q140" s="149">
        <v>44886</v>
      </c>
      <c r="R140" s="148"/>
      <c r="S140" s="150">
        <v>29</v>
      </c>
      <c r="T140" s="150">
        <v>29</v>
      </c>
      <c r="U140" s="150">
        <v>29</v>
      </c>
      <c r="V140" s="150">
        <v>29</v>
      </c>
      <c r="W140" s="149"/>
      <c r="X140" s="149"/>
      <c r="Y140" s="151"/>
      <c r="Z140" s="152">
        <v>0</v>
      </c>
      <c r="AA140" s="150"/>
      <c r="AB140" s="148" t="s">
        <v>1569</v>
      </c>
      <c r="AC140" s="153"/>
      <c r="AD140" s="166">
        <v>1</v>
      </c>
      <c r="AE140" s="176">
        <v>1</v>
      </c>
      <c r="AF140" s="172"/>
      <c r="AG140" s="173"/>
      <c r="AH140" s="173"/>
      <c r="AI140" s="173"/>
      <c r="AJ140" s="173"/>
      <c r="AK140" s="173"/>
      <c r="AL140" s="173"/>
      <c r="AM140" s="173"/>
      <c r="AN140" s="173"/>
      <c r="AO140" s="173"/>
      <c r="AP140" s="173"/>
      <c r="AQ140" s="173" t="str">
        <f>"  " &amp; TEXT(AE140,"#0.00%") &amp; " " &amp; "주관식" &amp; "(이태양)" &amp; " " &amp; IF(P140="","",TEXT(P140,"M/D-")) &amp; IF(Q140="","",TEXT(Q140,"M/D")) &amp; " "</f>
        <v xml:space="preserve">  100.00% 주관식(이태양) 10/12-11/21 </v>
      </c>
      <c r="AR140" s="173"/>
      <c r="AS140" s="173"/>
    </row>
    <row r="141" spans="1:45" ht="12" customHeight="1" outlineLevel="3">
      <c r="A141" s="147"/>
      <c r="B141" s="147" t="s">
        <v>1353</v>
      </c>
      <c r="C141" s="147">
        <v>4</v>
      </c>
      <c r="D141" s="167" t="s">
        <v>1693</v>
      </c>
      <c r="E141" s="148"/>
      <c r="F141" s="148"/>
      <c r="G141" s="148"/>
      <c r="H141" s="148" t="s">
        <v>1715</v>
      </c>
      <c r="I141" s="148"/>
      <c r="J141" s="148"/>
      <c r="K141" s="148"/>
      <c r="L141" s="148"/>
      <c r="M141" s="148"/>
      <c r="N141" s="220"/>
      <c r="O141" s="148"/>
      <c r="P141" s="149">
        <v>44846</v>
      </c>
      <c r="Q141" s="149">
        <v>44886</v>
      </c>
      <c r="R141" s="148"/>
      <c r="S141" s="150">
        <v>58</v>
      </c>
      <c r="T141" s="150">
        <v>58</v>
      </c>
      <c r="U141" s="150">
        <v>29</v>
      </c>
      <c r="V141" s="150">
        <v>29</v>
      </c>
      <c r="W141" s="149"/>
      <c r="X141" s="149"/>
      <c r="Y141" s="151">
        <v>0</v>
      </c>
      <c r="Z141" s="152">
        <v>0</v>
      </c>
      <c r="AA141" s="150"/>
      <c r="AB141" s="148"/>
      <c r="AC141" s="153"/>
      <c r="AD141" s="166">
        <v>1</v>
      </c>
      <c r="AE141" s="211">
        <v>1</v>
      </c>
      <c r="AF141" s="172"/>
      <c r="AG141" s="173"/>
      <c r="AH141" s="173"/>
      <c r="AI141" s="173"/>
      <c r="AJ141" s="173"/>
      <c r="AK141" s="173"/>
      <c r="AL141" s="173"/>
      <c r="AM141" s="173"/>
      <c r="AN141" s="173"/>
      <c r="AO141" s="173"/>
      <c r="AP141" s="173"/>
      <c r="AQ141" s="173" t="str">
        <f>"  " &amp; TEXT(AE141,"#0.00%") &amp; " " &amp; "캐릭터 게임형" &amp; " " &amp; IF(P141="","",TEXT(P141,"M/D-")) &amp; IF(Q141="","",TEXT(Q141,"M/D")) &amp; " "</f>
        <v xml:space="preserve">  100.00% 캐릭터 게임형 10/12-11/21 </v>
      </c>
      <c r="AR141" s="173"/>
      <c r="AS141" s="173"/>
    </row>
    <row r="142" spans="1:45" ht="12" customHeight="1" outlineLevel="4">
      <c r="A142" s="147"/>
      <c r="B142" s="147"/>
      <c r="C142" s="147">
        <v>5</v>
      </c>
      <c r="D142" s="167" t="s">
        <v>1806</v>
      </c>
      <c r="E142" s="148"/>
      <c r="F142" s="148"/>
      <c r="G142" s="148"/>
      <c r="H142" s="148"/>
      <c r="I142" s="148" t="s">
        <v>1758</v>
      </c>
      <c r="J142" s="148"/>
      <c r="K142" s="148"/>
      <c r="L142" s="148"/>
      <c r="M142" s="148"/>
      <c r="N142" s="220"/>
      <c r="O142" s="148"/>
      <c r="P142" s="149">
        <v>44846</v>
      </c>
      <c r="Q142" s="149">
        <v>44886</v>
      </c>
      <c r="R142" s="148"/>
      <c r="S142" s="150">
        <v>29</v>
      </c>
      <c r="T142" s="150">
        <v>29</v>
      </c>
      <c r="U142" s="150">
        <v>29</v>
      </c>
      <c r="V142" s="150">
        <v>29</v>
      </c>
      <c r="W142" s="149"/>
      <c r="X142" s="149"/>
      <c r="Y142" s="151"/>
      <c r="Z142" s="152">
        <v>0</v>
      </c>
      <c r="AA142" s="150"/>
      <c r="AB142" s="148" t="s">
        <v>1569</v>
      </c>
      <c r="AC142" s="153"/>
      <c r="AD142" s="166">
        <v>1</v>
      </c>
      <c r="AE142" s="176">
        <v>1</v>
      </c>
      <c r="AF142" s="172"/>
      <c r="AG142" s="173"/>
      <c r="AH142" s="173"/>
      <c r="AI142" s="173"/>
      <c r="AJ142" s="173"/>
      <c r="AK142" s="173"/>
      <c r="AL142" s="173"/>
      <c r="AM142" s="173"/>
      <c r="AN142" s="173"/>
      <c r="AO142" s="173"/>
      <c r="AP142" s="173"/>
      <c r="AQ142" s="173" t="str">
        <f>"  " &amp; TEXT(AE142,"#0.00%") &amp; " " &amp; "O/X" &amp; "(이태양)" &amp; " " &amp; IF(P142="","",TEXT(P142,"M/D-")) &amp; IF(Q142="","",TEXT(Q142,"M/D")) &amp; " "</f>
        <v xml:space="preserve">  100.00% O/X(이태양) 10/12-11/21 </v>
      </c>
      <c r="AR142" s="173"/>
      <c r="AS142" s="173"/>
    </row>
    <row r="143" spans="1:45" ht="12" customHeight="1" outlineLevel="4">
      <c r="A143" s="147"/>
      <c r="B143" s="147"/>
      <c r="C143" s="147">
        <v>5</v>
      </c>
      <c r="D143" s="167" t="s">
        <v>1807</v>
      </c>
      <c r="E143" s="148"/>
      <c r="F143" s="148"/>
      <c r="G143" s="148"/>
      <c r="H143" s="148"/>
      <c r="I143" s="148" t="s">
        <v>1602</v>
      </c>
      <c r="J143" s="148"/>
      <c r="K143" s="148"/>
      <c r="L143" s="148"/>
      <c r="M143" s="148"/>
      <c r="N143" s="220"/>
      <c r="O143" s="148"/>
      <c r="P143" s="149">
        <v>44846</v>
      </c>
      <c r="Q143" s="149">
        <v>44886</v>
      </c>
      <c r="R143" s="148"/>
      <c r="S143" s="150">
        <v>29</v>
      </c>
      <c r="T143" s="150">
        <v>29</v>
      </c>
      <c r="U143" s="150">
        <v>29</v>
      </c>
      <c r="V143" s="150">
        <v>29</v>
      </c>
      <c r="W143" s="149"/>
      <c r="X143" s="149"/>
      <c r="Y143" s="151"/>
      <c r="Z143" s="152">
        <v>0</v>
      </c>
      <c r="AA143" s="150"/>
      <c r="AB143" s="148" t="s">
        <v>1569</v>
      </c>
      <c r="AC143" s="153"/>
      <c r="AD143" s="166">
        <v>1</v>
      </c>
      <c r="AE143" s="176">
        <v>1</v>
      </c>
      <c r="AF143" s="172"/>
      <c r="AG143" s="173"/>
      <c r="AH143" s="173"/>
      <c r="AI143" s="173"/>
      <c r="AJ143" s="173"/>
      <c r="AK143" s="173"/>
      <c r="AL143" s="173"/>
      <c r="AM143" s="173"/>
      <c r="AN143" s="173"/>
      <c r="AO143" s="173"/>
      <c r="AP143" s="173"/>
      <c r="AQ143" s="173" t="str">
        <f>"  " &amp; TEXT(AE143,"#0.00%") &amp; " " &amp; "객관식" &amp; "(이태양)" &amp; " " &amp; IF(P143="","",TEXT(P143,"M/D-")) &amp; IF(Q143="","",TEXT(Q143,"M/D")) &amp; " "</f>
        <v xml:space="preserve">  100.00% 객관식(이태양) 10/12-11/21 </v>
      </c>
      <c r="AR143" s="173"/>
      <c r="AS143" s="173"/>
    </row>
    <row r="144" spans="1:45" ht="12" customHeight="1" outlineLevel="2">
      <c r="A144" s="147"/>
      <c r="B144" s="147" t="s">
        <v>1353</v>
      </c>
      <c r="C144" s="147">
        <v>3</v>
      </c>
      <c r="D144" s="167" t="s">
        <v>1694</v>
      </c>
      <c r="E144" s="148"/>
      <c r="F144" s="148"/>
      <c r="G144" s="148" t="s">
        <v>1706</v>
      </c>
      <c r="H144" s="148"/>
      <c r="I144" s="148"/>
      <c r="J144" s="148"/>
      <c r="K144" s="148"/>
      <c r="L144" s="148"/>
      <c r="M144" s="148"/>
      <c r="N144" s="220"/>
      <c r="O144" s="148"/>
      <c r="P144" s="149">
        <v>44846</v>
      </c>
      <c r="Q144" s="149">
        <v>44886</v>
      </c>
      <c r="R144" s="148"/>
      <c r="S144" s="150">
        <v>145</v>
      </c>
      <c r="T144" s="150">
        <v>145</v>
      </c>
      <c r="U144" s="150">
        <v>29</v>
      </c>
      <c r="V144" s="150">
        <v>29</v>
      </c>
      <c r="W144" s="149"/>
      <c r="X144" s="149"/>
      <c r="Y144" s="151">
        <v>0</v>
      </c>
      <c r="Z144" s="152">
        <v>0</v>
      </c>
      <c r="AA144" s="150"/>
      <c r="AB144" s="148"/>
      <c r="AC144" s="153"/>
      <c r="AD144" s="166">
        <v>1</v>
      </c>
      <c r="AE144" s="211">
        <v>1</v>
      </c>
      <c r="AF144" s="172"/>
      <c r="AG144" s="173"/>
      <c r="AH144" s="173"/>
      <c r="AI144" s="173"/>
      <c r="AJ144" s="173"/>
      <c r="AK144" s="173"/>
      <c r="AL144" s="173"/>
      <c r="AM144" s="173"/>
      <c r="AN144" s="173"/>
      <c r="AO144" s="173"/>
      <c r="AP144" s="173"/>
      <c r="AQ144" s="173" t="str">
        <f>"  " &amp; TEXT(AE144,"#0.00%") &amp; " " &amp; "그림판" &amp; " " &amp; IF(P144="","",TEXT(P144,"M/D-")) &amp; IF(Q144="","",TEXT(Q144,"M/D")) &amp; " "</f>
        <v xml:space="preserve">  100.00% 그림판 10/12-11/21 </v>
      </c>
      <c r="AR144" s="173"/>
      <c r="AS144" s="173"/>
    </row>
    <row r="145" spans="1:45" ht="12" customHeight="1" outlineLevel="3">
      <c r="A145" s="147"/>
      <c r="B145" s="147"/>
      <c r="C145" s="147">
        <v>4</v>
      </c>
      <c r="D145" s="167" t="s">
        <v>1695</v>
      </c>
      <c r="E145" s="148"/>
      <c r="F145" s="148"/>
      <c r="G145" s="148"/>
      <c r="H145" s="148" t="s">
        <v>1604</v>
      </c>
      <c r="I145" s="148"/>
      <c r="J145" s="148"/>
      <c r="K145" s="148"/>
      <c r="L145" s="148"/>
      <c r="M145" s="148"/>
      <c r="N145" s="220"/>
      <c r="O145" s="148"/>
      <c r="P145" s="149">
        <v>44846</v>
      </c>
      <c r="Q145" s="149">
        <v>44886</v>
      </c>
      <c r="R145" s="148"/>
      <c r="S145" s="150">
        <v>29</v>
      </c>
      <c r="T145" s="150">
        <v>29</v>
      </c>
      <c r="U145" s="150">
        <v>29</v>
      </c>
      <c r="V145" s="150">
        <v>29</v>
      </c>
      <c r="W145" s="149"/>
      <c r="X145" s="149"/>
      <c r="Y145" s="151"/>
      <c r="Z145" s="152">
        <v>0</v>
      </c>
      <c r="AA145" s="150"/>
      <c r="AB145" s="148" t="s">
        <v>1569</v>
      </c>
      <c r="AC145" s="153"/>
      <c r="AD145" s="166">
        <v>1</v>
      </c>
      <c r="AE145" s="176">
        <v>1</v>
      </c>
      <c r="AF145" s="172"/>
      <c r="AG145" s="173"/>
      <c r="AH145" s="173"/>
      <c r="AI145" s="173"/>
      <c r="AJ145" s="173"/>
      <c r="AK145" s="173"/>
      <c r="AL145" s="173"/>
      <c r="AM145" s="173"/>
      <c r="AN145" s="173"/>
      <c r="AO145" s="173"/>
      <c r="AP145" s="173"/>
      <c r="AQ145" s="173" t="str">
        <f>"  " &amp; TEXT(AE145,"#0.00%") &amp; " " &amp; "텍스트" &amp; "(이태양)" &amp; " " &amp; IF(P145="","",TEXT(P145,"M/D-")) &amp; IF(Q145="","",TEXT(Q145,"M/D")) &amp; " "</f>
        <v xml:space="preserve">  100.00% 텍스트(이태양) 10/12-11/21 </v>
      </c>
      <c r="AR145" s="173"/>
      <c r="AS145" s="173"/>
    </row>
    <row r="146" spans="1:45" ht="12" customHeight="1" outlineLevel="3">
      <c r="A146" s="147"/>
      <c r="B146" s="147"/>
      <c r="C146" s="147">
        <v>4</v>
      </c>
      <c r="D146" s="167" t="s">
        <v>1696</v>
      </c>
      <c r="E146" s="148"/>
      <c r="F146" s="148"/>
      <c r="G146" s="148"/>
      <c r="H146" s="148" t="s">
        <v>1605</v>
      </c>
      <c r="I146" s="148"/>
      <c r="J146" s="148"/>
      <c r="K146" s="148"/>
      <c r="L146" s="148"/>
      <c r="M146" s="148"/>
      <c r="N146" s="220"/>
      <c r="O146" s="148"/>
      <c r="P146" s="149">
        <v>44846</v>
      </c>
      <c r="Q146" s="149">
        <v>44886</v>
      </c>
      <c r="R146" s="148"/>
      <c r="S146" s="150">
        <v>29</v>
      </c>
      <c r="T146" s="150">
        <v>29</v>
      </c>
      <c r="U146" s="150">
        <v>29</v>
      </c>
      <c r="V146" s="150">
        <v>29</v>
      </c>
      <c r="W146" s="149"/>
      <c r="X146" s="149"/>
      <c r="Y146" s="151"/>
      <c r="Z146" s="152">
        <v>0</v>
      </c>
      <c r="AA146" s="150"/>
      <c r="AB146" s="148" t="s">
        <v>1569</v>
      </c>
      <c r="AC146" s="153"/>
      <c r="AD146" s="166">
        <v>1</v>
      </c>
      <c r="AE146" s="176">
        <v>1</v>
      </c>
      <c r="AF146" s="172"/>
      <c r="AG146" s="173"/>
      <c r="AH146" s="173"/>
      <c r="AI146" s="173"/>
      <c r="AJ146" s="173"/>
      <c r="AK146" s="173"/>
      <c r="AL146" s="173"/>
      <c r="AM146" s="173"/>
      <c r="AN146" s="173"/>
      <c r="AO146" s="173"/>
      <c r="AP146" s="173"/>
      <c r="AQ146" s="173" t="str">
        <f>"  " &amp; TEXT(AE146,"#0.00%") &amp; " " &amp; "펜" &amp; "(이태양)" &amp; " " &amp; IF(P146="","",TEXT(P146,"M/D-")) &amp; IF(Q146="","",TEXT(Q146,"M/D")) &amp; " "</f>
        <v xml:space="preserve">  100.00% 펜(이태양) 10/12-11/21 </v>
      </c>
      <c r="AR146" s="173"/>
      <c r="AS146" s="173"/>
    </row>
    <row r="147" spans="1:45" ht="12" customHeight="1" outlineLevel="3">
      <c r="A147" s="147"/>
      <c r="B147" s="147"/>
      <c r="C147" s="147">
        <v>4</v>
      </c>
      <c r="D147" s="167" t="s">
        <v>1697</v>
      </c>
      <c r="E147" s="148"/>
      <c r="F147" s="148"/>
      <c r="G147" s="148"/>
      <c r="H147" s="148" t="s">
        <v>1606</v>
      </c>
      <c r="I147" s="148"/>
      <c r="J147" s="148"/>
      <c r="K147" s="148"/>
      <c r="L147" s="148"/>
      <c r="M147" s="148"/>
      <c r="N147" s="148"/>
      <c r="O147" s="148"/>
      <c r="P147" s="149">
        <v>44846</v>
      </c>
      <c r="Q147" s="149">
        <v>44886</v>
      </c>
      <c r="R147" s="148"/>
      <c r="S147" s="150">
        <v>29</v>
      </c>
      <c r="T147" s="150">
        <v>29</v>
      </c>
      <c r="U147" s="150">
        <v>29</v>
      </c>
      <c r="V147" s="150">
        <v>29</v>
      </c>
      <c r="W147" s="149"/>
      <c r="X147" s="149"/>
      <c r="Y147" s="151"/>
      <c r="Z147" s="152">
        <v>0</v>
      </c>
      <c r="AA147" s="150"/>
      <c r="AB147" s="148" t="s">
        <v>1569</v>
      </c>
      <c r="AC147" s="153"/>
      <c r="AD147" s="166">
        <v>1</v>
      </c>
      <c r="AE147" s="176">
        <v>1</v>
      </c>
      <c r="AF147" s="172"/>
      <c r="AG147" s="173"/>
      <c r="AH147" s="173"/>
      <c r="AI147" s="173"/>
      <c r="AJ147" s="173"/>
      <c r="AK147" s="173"/>
      <c r="AL147" s="173"/>
      <c r="AM147" s="173"/>
      <c r="AN147" s="173"/>
      <c r="AO147" s="173"/>
      <c r="AP147" s="173"/>
      <c r="AQ147" s="173" t="str">
        <f>"  " &amp; TEXT(AE147,"#0.00%") &amp; " " &amp; "도형" &amp; "(이태양)" &amp; " " &amp; IF(P147="","",TEXT(P147,"M/D-")) &amp; IF(Q147="","",TEXT(Q147,"M/D")) &amp; " "</f>
        <v xml:space="preserve">  100.00% 도형(이태양) 10/12-11/21 </v>
      </c>
      <c r="AR147" s="173"/>
      <c r="AS147" s="173"/>
    </row>
    <row r="148" spans="1:45" ht="12" customHeight="1" outlineLevel="3">
      <c r="A148" s="147"/>
      <c r="B148" s="147"/>
      <c r="C148" s="147">
        <v>4</v>
      </c>
      <c r="D148" s="167" t="s">
        <v>1698</v>
      </c>
      <c r="E148" s="148"/>
      <c r="F148" s="148"/>
      <c r="G148" s="148"/>
      <c r="H148" s="148" t="s">
        <v>1721</v>
      </c>
      <c r="I148" s="148"/>
      <c r="J148" s="148"/>
      <c r="K148" s="148"/>
      <c r="L148" s="148"/>
      <c r="M148" s="148"/>
      <c r="N148" s="148"/>
      <c r="O148" s="148"/>
      <c r="P148" s="149">
        <v>44846</v>
      </c>
      <c r="Q148" s="149">
        <v>44886</v>
      </c>
      <c r="R148" s="148"/>
      <c r="S148" s="150">
        <v>29</v>
      </c>
      <c r="T148" s="150">
        <v>29</v>
      </c>
      <c r="U148" s="150">
        <v>29</v>
      </c>
      <c r="V148" s="150">
        <v>29</v>
      </c>
      <c r="W148" s="149"/>
      <c r="X148" s="149"/>
      <c r="Y148" s="151"/>
      <c r="Z148" s="152">
        <v>0</v>
      </c>
      <c r="AA148" s="150"/>
      <c r="AB148" s="148" t="s">
        <v>1569</v>
      </c>
      <c r="AC148" s="153"/>
      <c r="AD148" s="166">
        <v>1</v>
      </c>
      <c r="AE148" s="176">
        <v>1</v>
      </c>
      <c r="AF148" s="172"/>
      <c r="AG148" s="173"/>
      <c r="AH148" s="173"/>
      <c r="AI148" s="173"/>
      <c r="AJ148" s="173"/>
      <c r="AK148" s="173"/>
      <c r="AL148" s="173"/>
      <c r="AM148" s="173"/>
      <c r="AN148" s="173"/>
      <c r="AO148" s="173"/>
      <c r="AP148" s="173"/>
      <c r="AQ148" s="173" t="str">
        <f>"  " &amp; TEXT(AE148,"#0.00%") &amp; " " &amp; "지우기/전체지우기" &amp; "(이태양)" &amp; " " &amp; IF(P148="","",TEXT(P148,"M/D-")) &amp; IF(Q148="","",TEXT(Q148,"M/D")) &amp; " "</f>
        <v xml:space="preserve">  100.00% 지우기/전체지우기(이태양) 10/12-11/21 </v>
      </c>
      <c r="AR148" s="173"/>
      <c r="AS148" s="173"/>
    </row>
    <row r="149" spans="1:45" ht="12" customHeight="1" outlineLevel="3">
      <c r="A149" s="147"/>
      <c r="B149" s="147"/>
      <c r="C149" s="147">
        <v>4</v>
      </c>
      <c r="D149" s="167" t="s">
        <v>1699</v>
      </c>
      <c r="E149" s="148"/>
      <c r="F149" s="148"/>
      <c r="G149" s="148"/>
      <c r="H149" s="148" t="s">
        <v>1722</v>
      </c>
      <c r="I149" s="148"/>
      <c r="J149" s="148"/>
      <c r="K149" s="148"/>
      <c r="L149" s="148"/>
      <c r="M149" s="148"/>
      <c r="N149" s="148"/>
      <c r="O149" s="148"/>
      <c r="P149" s="149">
        <v>44846</v>
      </c>
      <c r="Q149" s="149">
        <v>44886</v>
      </c>
      <c r="R149" s="148"/>
      <c r="S149" s="150">
        <v>29</v>
      </c>
      <c r="T149" s="150">
        <v>29</v>
      </c>
      <c r="U149" s="150">
        <v>29</v>
      </c>
      <c r="V149" s="150">
        <v>29</v>
      </c>
      <c r="W149" s="149"/>
      <c r="X149" s="149"/>
      <c r="Y149" s="151"/>
      <c r="Z149" s="152">
        <v>0</v>
      </c>
      <c r="AA149" s="150"/>
      <c r="AB149" s="148" t="s">
        <v>1569</v>
      </c>
      <c r="AC149" s="153"/>
      <c r="AD149" s="166">
        <v>1</v>
      </c>
      <c r="AE149" s="176">
        <v>1</v>
      </c>
      <c r="AF149" s="172"/>
      <c r="AG149" s="173"/>
      <c r="AH149" s="173"/>
      <c r="AI149" s="173"/>
      <c r="AJ149" s="173"/>
      <c r="AK149" s="173"/>
      <c r="AL149" s="173"/>
      <c r="AM149" s="173"/>
      <c r="AN149" s="173"/>
      <c r="AO149" s="173"/>
      <c r="AP149" s="173"/>
      <c r="AQ149" s="173" t="str">
        <f>"  " &amp; TEXT(AE149,"#0.00%") &amp; " " &amp; "레이어 기능" &amp; "(이태양)" &amp; " " &amp; IF(P149="","",TEXT(P149,"M/D-")) &amp; IF(Q149="","",TEXT(Q149,"M/D")) &amp; " "</f>
        <v xml:space="preserve">  100.00% 레이어 기능(이태양) 10/12-11/21 </v>
      </c>
      <c r="AR149" s="173"/>
      <c r="AS149" s="173"/>
    </row>
    <row r="150" spans="1:45" ht="12" customHeight="1" outlineLevel="2">
      <c r="A150" s="147"/>
      <c r="B150" s="147" t="s">
        <v>1353</v>
      </c>
      <c r="C150" s="147">
        <v>3</v>
      </c>
      <c r="D150" s="167" t="s">
        <v>1700</v>
      </c>
      <c r="E150" s="148"/>
      <c r="F150" s="148"/>
      <c r="G150" s="148" t="s">
        <v>1607</v>
      </c>
      <c r="H150" s="148"/>
      <c r="I150" s="148"/>
      <c r="J150" s="148"/>
      <c r="K150" s="148"/>
      <c r="L150" s="148"/>
      <c r="M150" s="148"/>
      <c r="N150" s="148"/>
      <c r="O150" s="148"/>
      <c r="P150" s="149">
        <v>44846</v>
      </c>
      <c r="Q150" s="149">
        <v>44886</v>
      </c>
      <c r="R150" s="148"/>
      <c r="S150" s="150">
        <v>87</v>
      </c>
      <c r="T150" s="150">
        <v>87</v>
      </c>
      <c r="U150" s="150">
        <v>29</v>
      </c>
      <c r="V150" s="150">
        <v>29</v>
      </c>
      <c r="W150" s="149"/>
      <c r="X150" s="149"/>
      <c r="Y150" s="151">
        <v>0</v>
      </c>
      <c r="Z150" s="152">
        <v>0</v>
      </c>
      <c r="AA150" s="150"/>
      <c r="AB150" s="148"/>
      <c r="AC150" s="153"/>
      <c r="AD150" s="166">
        <v>1</v>
      </c>
      <c r="AE150" s="211">
        <v>1</v>
      </c>
      <c r="AF150" s="172"/>
      <c r="AG150" s="173"/>
      <c r="AH150" s="173"/>
      <c r="AI150" s="173"/>
      <c r="AJ150" s="173"/>
      <c r="AK150" s="173"/>
      <c r="AL150" s="173"/>
      <c r="AM150" s="173"/>
      <c r="AN150" s="173"/>
      <c r="AO150" s="173"/>
      <c r="AP150" s="173"/>
      <c r="AQ150" s="173" t="str">
        <f>"  " &amp; TEXT(AE150,"#0.00%") &amp; " " &amp; "화면 송수신" &amp; " " &amp; IF(P150="","",TEXT(P150,"M/D-")) &amp; IF(Q150="","",TEXT(Q150,"M/D")) &amp; " "</f>
        <v xml:space="preserve">  100.00% 화면 송수신 10/12-11/21 </v>
      </c>
      <c r="AR150" s="173"/>
      <c r="AS150" s="173"/>
    </row>
    <row r="151" spans="1:45" ht="12" customHeight="1" outlineLevel="3">
      <c r="A151" s="147"/>
      <c r="B151" s="147"/>
      <c r="C151" s="147">
        <v>4</v>
      </c>
      <c r="D151" s="167" t="s">
        <v>1701</v>
      </c>
      <c r="E151" s="148"/>
      <c r="F151" s="148"/>
      <c r="G151" s="148"/>
      <c r="H151" s="148" t="s">
        <v>1610</v>
      </c>
      <c r="I151" s="148"/>
      <c r="J151" s="148"/>
      <c r="K151" s="148"/>
      <c r="L151" s="148"/>
      <c r="M151" s="148"/>
      <c r="N151" s="148"/>
      <c r="O151" s="148"/>
      <c r="P151" s="149">
        <v>44846</v>
      </c>
      <c r="Q151" s="149">
        <v>44886</v>
      </c>
      <c r="R151" s="148"/>
      <c r="S151" s="150">
        <v>29</v>
      </c>
      <c r="T151" s="150">
        <v>29</v>
      </c>
      <c r="U151" s="150">
        <v>29</v>
      </c>
      <c r="V151" s="150">
        <v>29</v>
      </c>
      <c r="W151" s="149"/>
      <c r="X151" s="149"/>
      <c r="Y151" s="151"/>
      <c r="Z151" s="152">
        <v>0</v>
      </c>
      <c r="AA151" s="150"/>
      <c r="AB151" s="148" t="s">
        <v>1569</v>
      </c>
      <c r="AC151" s="153"/>
      <c r="AD151" s="166">
        <v>1</v>
      </c>
      <c r="AE151" s="176">
        <v>1</v>
      </c>
      <c r="AF151" s="172"/>
      <c r="AG151" s="173"/>
      <c r="AH151" s="173"/>
      <c r="AI151" s="173"/>
      <c r="AJ151" s="173"/>
      <c r="AK151" s="173"/>
      <c r="AL151" s="173"/>
      <c r="AM151" s="173"/>
      <c r="AN151" s="173"/>
      <c r="AO151" s="173"/>
      <c r="AP151" s="173"/>
      <c r="AQ151" s="173" t="str">
        <f>"  " &amp; TEXT(AE151,"#0.00%") &amp; " " &amp; "서버 송신" &amp; "(이태양)" &amp; " " &amp; IF(P151="","",TEXT(P151,"M/D-")) &amp; IF(Q151="","",TEXT(Q151,"M/D")) &amp; " "</f>
        <v xml:space="preserve">  100.00% 서버 송신(이태양) 10/12-11/21 </v>
      </c>
      <c r="AR151" s="173"/>
      <c r="AS151" s="173"/>
    </row>
    <row r="152" spans="1:45" ht="12" customHeight="1" outlineLevel="3">
      <c r="A152" s="147"/>
      <c r="B152" s="147"/>
      <c r="C152" s="147">
        <v>4</v>
      </c>
      <c r="D152" s="167" t="s">
        <v>1702</v>
      </c>
      <c r="E152" s="148"/>
      <c r="F152" s="148"/>
      <c r="G152" s="148"/>
      <c r="H152" s="148" t="s">
        <v>1611</v>
      </c>
      <c r="I152" s="148"/>
      <c r="J152" s="148"/>
      <c r="K152" s="148"/>
      <c r="L152" s="148"/>
      <c r="M152" s="148"/>
      <c r="N152" s="148"/>
      <c r="O152" s="148"/>
      <c r="P152" s="149">
        <v>44846</v>
      </c>
      <c r="Q152" s="149">
        <v>44886</v>
      </c>
      <c r="R152" s="148"/>
      <c r="S152" s="150">
        <v>29</v>
      </c>
      <c r="T152" s="150">
        <v>29</v>
      </c>
      <c r="U152" s="150">
        <v>29</v>
      </c>
      <c r="V152" s="150">
        <v>29</v>
      </c>
      <c r="W152" s="149"/>
      <c r="X152" s="149"/>
      <c r="Y152" s="151"/>
      <c r="Z152" s="152">
        <v>0</v>
      </c>
      <c r="AA152" s="150"/>
      <c r="AB152" s="148" t="s">
        <v>1569</v>
      </c>
      <c r="AC152" s="153"/>
      <c r="AD152" s="166">
        <v>1</v>
      </c>
      <c r="AE152" s="176">
        <v>1</v>
      </c>
      <c r="AF152" s="172"/>
      <c r="AG152" s="173"/>
      <c r="AH152" s="173"/>
      <c r="AI152" s="173"/>
      <c r="AJ152" s="173"/>
      <c r="AK152" s="173"/>
      <c r="AL152" s="173"/>
      <c r="AM152" s="173"/>
      <c r="AN152" s="173"/>
      <c r="AO152" s="173"/>
      <c r="AP152" s="173"/>
      <c r="AQ152" s="173" t="str">
        <f>"  " &amp; TEXT(AE152,"#0.00%") &amp; " " &amp; "클라이언트 수신" &amp; "(이태양)" &amp; " " &amp; IF(P152="","",TEXT(P152,"M/D-")) &amp; IF(Q152="","",TEXT(Q152,"M/D")) &amp; " "</f>
        <v xml:space="preserve">  100.00% 클라이언트 수신(이태양) 10/12-11/21 </v>
      </c>
      <c r="AR152" s="173"/>
      <c r="AS152" s="173"/>
    </row>
    <row r="153" spans="1:45" ht="12" customHeight="1" outlineLevel="3">
      <c r="A153" s="147"/>
      <c r="B153" s="147"/>
      <c r="C153" s="147">
        <v>4</v>
      </c>
      <c r="D153" s="167" t="s">
        <v>1732</v>
      </c>
      <c r="E153" s="148"/>
      <c r="F153" s="148"/>
      <c r="G153" s="148"/>
      <c r="H153" s="148" t="s">
        <v>1725</v>
      </c>
      <c r="I153" s="148"/>
      <c r="J153" s="148"/>
      <c r="K153" s="148"/>
      <c r="L153" s="148"/>
      <c r="M153" s="148"/>
      <c r="N153" s="148"/>
      <c r="O153" s="148"/>
      <c r="P153" s="149">
        <v>44846</v>
      </c>
      <c r="Q153" s="149">
        <v>44886</v>
      </c>
      <c r="R153" s="148"/>
      <c r="S153" s="150">
        <v>29</v>
      </c>
      <c r="T153" s="150">
        <v>29</v>
      </c>
      <c r="U153" s="150">
        <v>29</v>
      </c>
      <c r="V153" s="150">
        <v>29</v>
      </c>
      <c r="W153" s="149"/>
      <c r="X153" s="149"/>
      <c r="Y153" s="151"/>
      <c r="Z153" s="152">
        <v>0</v>
      </c>
      <c r="AA153" s="150"/>
      <c r="AB153" s="148" t="s">
        <v>1569</v>
      </c>
      <c r="AC153" s="153"/>
      <c r="AD153" s="166">
        <v>1</v>
      </c>
      <c r="AE153" s="176">
        <v>1</v>
      </c>
      <c r="AF153" s="172"/>
      <c r="AG153" s="173"/>
      <c r="AH153" s="173"/>
      <c r="AI153" s="173"/>
      <c r="AJ153" s="173"/>
      <c r="AK153" s="173"/>
      <c r="AL153" s="173"/>
      <c r="AM153" s="173"/>
      <c r="AN153" s="173"/>
      <c r="AO153" s="173"/>
      <c r="AP153" s="173"/>
      <c r="AQ153" s="173" t="str">
        <f>"  " &amp; TEXT(AE153,"#0.00%") &amp; " " &amp; "클라이언트 화면 리스트" &amp; "(이태양)" &amp; " " &amp; IF(P153="","",TEXT(P153,"M/D-")) &amp; IF(Q153="","",TEXT(Q153,"M/D")) &amp; " "</f>
        <v xml:space="preserve">  100.00% 클라이언트 화면 리스트(이태양) 10/12-11/21 </v>
      </c>
      <c r="AR153" s="173"/>
      <c r="AS153" s="173"/>
    </row>
    <row r="154" spans="1:45" ht="12" customHeight="1">
      <c r="A154" s="147"/>
      <c r="B154" s="147" t="s">
        <v>1353</v>
      </c>
      <c r="C154" s="147">
        <v>1</v>
      </c>
      <c r="D154" s="167" t="s">
        <v>1539</v>
      </c>
      <c r="E154" s="148" t="s">
        <v>1757</v>
      </c>
      <c r="F154" s="148"/>
      <c r="G154" s="148"/>
      <c r="H154" s="148"/>
      <c r="I154" s="148"/>
      <c r="J154" s="148"/>
      <c r="K154" s="148"/>
      <c r="L154" s="148"/>
      <c r="M154" s="148"/>
      <c r="N154" s="148"/>
      <c r="O154" s="148"/>
      <c r="P154" s="149">
        <v>44846</v>
      </c>
      <c r="Q154" s="149">
        <v>44886</v>
      </c>
      <c r="R154" s="148"/>
      <c r="S154" s="150">
        <v>1189</v>
      </c>
      <c r="T154" s="150">
        <v>1189</v>
      </c>
      <c r="U154" s="150">
        <v>29</v>
      </c>
      <c r="V154" s="150">
        <v>29</v>
      </c>
      <c r="W154" s="149"/>
      <c r="X154" s="149"/>
      <c r="Y154" s="151">
        <v>0</v>
      </c>
      <c r="Z154" s="152">
        <v>0</v>
      </c>
      <c r="AA154" s="150"/>
      <c r="AB154" s="148"/>
      <c r="AC154" s="153"/>
      <c r="AD154" s="166">
        <v>1</v>
      </c>
      <c r="AE154" s="211">
        <v>1</v>
      </c>
      <c r="AF154" s="172"/>
      <c r="AG154" s="173"/>
      <c r="AH154" s="173"/>
      <c r="AI154" s="173"/>
      <c r="AJ154" s="173"/>
      <c r="AK154" s="173"/>
      <c r="AL154" s="173"/>
      <c r="AM154" s="173"/>
      <c r="AN154" s="173"/>
      <c r="AO154" s="173"/>
      <c r="AP154" s="173"/>
      <c r="AQ154" s="173" t="str">
        <f>"  " &amp; TEXT(AE154,"#0.00%") &amp; " " &amp; "UI구현" &amp; " " &amp; IF(P154="","",TEXT(P154,"M/D-")) &amp; IF(Q154="","",TEXT(Q154,"M/D")) &amp; " "</f>
        <v xml:space="preserve">  100.00% UI구현 10/12-11/21 </v>
      </c>
      <c r="AR154" s="173"/>
      <c r="AS154" s="173"/>
    </row>
    <row r="155" spans="1:45" ht="12" customHeight="1" outlineLevel="1">
      <c r="A155" s="147"/>
      <c r="B155" s="147"/>
      <c r="C155" s="147">
        <v>2</v>
      </c>
      <c r="D155" s="167" t="s">
        <v>1765</v>
      </c>
      <c r="E155" s="148"/>
      <c r="F155" s="148" t="s">
        <v>1559</v>
      </c>
      <c r="G155" s="148"/>
      <c r="H155" s="148"/>
      <c r="I155" s="148"/>
      <c r="J155" s="148"/>
      <c r="K155" s="148"/>
      <c r="L155" s="148"/>
      <c r="M155" s="148"/>
      <c r="N155" s="148"/>
      <c r="O155" s="148"/>
      <c r="P155" s="149">
        <v>44846</v>
      </c>
      <c r="Q155" s="149">
        <v>44886</v>
      </c>
      <c r="R155" s="148"/>
      <c r="S155" s="150">
        <v>29</v>
      </c>
      <c r="T155" s="150">
        <v>29</v>
      </c>
      <c r="U155" s="150">
        <v>29</v>
      </c>
      <c r="V155" s="150">
        <v>29</v>
      </c>
      <c r="W155" s="149"/>
      <c r="X155" s="149"/>
      <c r="Y155" s="151"/>
      <c r="Z155" s="152">
        <v>0</v>
      </c>
      <c r="AA155" s="150"/>
      <c r="AB155" s="148" t="s">
        <v>1842</v>
      </c>
      <c r="AC155" s="153"/>
      <c r="AD155" s="166">
        <v>1</v>
      </c>
      <c r="AE155" s="176">
        <v>1</v>
      </c>
      <c r="AF155" s="172"/>
      <c r="AG155" s="173"/>
      <c r="AH155" s="173"/>
      <c r="AI155" s="173"/>
      <c r="AJ155" s="173"/>
      <c r="AK155" s="173"/>
      <c r="AL155" s="173"/>
      <c r="AM155" s="173"/>
      <c r="AN155" s="173"/>
      <c r="AO155" s="173"/>
      <c r="AP155" s="173"/>
      <c r="AQ155" s="173" t="str">
        <f>"  " &amp; TEXT(AE155,"#0.00%") &amp; " " &amp; "구현 계획 수립" &amp; "(이종수[50%],장진[50%])" &amp; " " &amp; IF(P155="","",TEXT(P155,"M/D-")) &amp; IF(Q155="","",TEXT(Q155,"M/D")) &amp; " "</f>
        <v xml:space="preserve">  100.00% 구현 계획 수립(이종수[50%],장진[50%]) 10/12-11/21 </v>
      </c>
      <c r="AR155" s="173"/>
      <c r="AS155" s="173"/>
    </row>
    <row r="156" spans="1:45" ht="12" customHeight="1" outlineLevel="1">
      <c r="A156" s="147"/>
      <c r="B156" s="147" t="s">
        <v>1353</v>
      </c>
      <c r="C156" s="147">
        <v>2</v>
      </c>
      <c r="D156" s="167" t="s">
        <v>1766</v>
      </c>
      <c r="E156" s="148"/>
      <c r="F156" s="148" t="s">
        <v>1552</v>
      </c>
      <c r="G156" s="148"/>
      <c r="H156" s="148"/>
      <c r="I156" s="148"/>
      <c r="J156" s="148"/>
      <c r="K156" s="148"/>
      <c r="L156" s="148"/>
      <c r="M156" s="148"/>
      <c r="N156" s="148"/>
      <c r="O156" s="148"/>
      <c r="P156" s="149">
        <v>44846</v>
      </c>
      <c r="Q156" s="149">
        <v>44886</v>
      </c>
      <c r="R156" s="148"/>
      <c r="S156" s="150">
        <v>638</v>
      </c>
      <c r="T156" s="150">
        <v>638</v>
      </c>
      <c r="U156" s="150">
        <v>29</v>
      </c>
      <c r="V156" s="150">
        <v>29</v>
      </c>
      <c r="W156" s="149"/>
      <c r="X156" s="149"/>
      <c r="Y156" s="151">
        <v>0</v>
      </c>
      <c r="Z156" s="152">
        <v>0</v>
      </c>
      <c r="AA156" s="150"/>
      <c r="AB156" s="148"/>
      <c r="AC156" s="153"/>
      <c r="AD156" s="166">
        <v>1</v>
      </c>
      <c r="AE156" s="211">
        <v>1</v>
      </c>
      <c r="AF156" s="172"/>
      <c r="AG156" s="173"/>
      <c r="AH156" s="173"/>
      <c r="AI156" s="173"/>
      <c r="AJ156" s="173"/>
      <c r="AK156" s="173"/>
      <c r="AL156" s="173"/>
      <c r="AM156" s="173"/>
      <c r="AN156" s="173"/>
      <c r="AO156" s="173"/>
      <c r="AP156" s="173"/>
      <c r="AQ156" s="173" t="str">
        <f>"  " &amp; TEXT(AE156,"#0.00%") &amp; " " &amp; "클라이언트" &amp; " " &amp; IF(P156="","",TEXT(P156,"M/D-")) &amp; IF(Q156="","",TEXT(Q156,"M/D")) &amp; " "</f>
        <v xml:space="preserve">  100.00% 클라이언트 10/12-11/21 </v>
      </c>
      <c r="AR156" s="173"/>
      <c r="AS156" s="173"/>
    </row>
    <row r="157" spans="1:45" ht="12" customHeight="1" outlineLevel="2">
      <c r="A157" s="147"/>
      <c r="B157" s="147" t="s">
        <v>1353</v>
      </c>
      <c r="C157" s="147">
        <v>3</v>
      </c>
      <c r="D157" s="167" t="s">
        <v>1767</v>
      </c>
      <c r="E157" s="148"/>
      <c r="F157" s="148"/>
      <c r="G157" s="148" t="s">
        <v>1598</v>
      </c>
      <c r="H157" s="148"/>
      <c r="I157" s="148"/>
      <c r="J157" s="148"/>
      <c r="K157" s="148"/>
      <c r="L157" s="148"/>
      <c r="M157" s="148"/>
      <c r="N157" s="148"/>
      <c r="O157" s="148"/>
      <c r="P157" s="149">
        <v>44846</v>
      </c>
      <c r="Q157" s="149">
        <v>44886</v>
      </c>
      <c r="R157" s="148"/>
      <c r="S157" s="150">
        <v>58</v>
      </c>
      <c r="T157" s="150">
        <v>58</v>
      </c>
      <c r="U157" s="150">
        <v>29</v>
      </c>
      <c r="V157" s="150">
        <v>29</v>
      </c>
      <c r="W157" s="149"/>
      <c r="X157" s="149"/>
      <c r="Y157" s="151">
        <v>0</v>
      </c>
      <c r="Z157" s="152">
        <v>0</v>
      </c>
      <c r="AA157" s="150"/>
      <c r="AB157" s="148"/>
      <c r="AC157" s="153"/>
      <c r="AD157" s="166">
        <v>1</v>
      </c>
      <c r="AE157" s="211">
        <v>1</v>
      </c>
      <c r="AF157" s="172"/>
      <c r="AG157" s="173"/>
      <c r="AH157" s="173"/>
      <c r="AI157" s="173"/>
      <c r="AJ157" s="173"/>
      <c r="AK157" s="173"/>
      <c r="AL157" s="173"/>
      <c r="AM157" s="173"/>
      <c r="AN157" s="173"/>
      <c r="AO157" s="173"/>
      <c r="AP157" s="173"/>
      <c r="AQ157" s="173" t="str">
        <f>"  " &amp; TEXT(AE157,"#0.00%") &amp; " " &amp; "채팅" &amp; " " &amp; IF(P157="","",TEXT(P157,"M/D-")) &amp; IF(Q157="","",TEXT(Q157,"M/D")) &amp; " "</f>
        <v xml:space="preserve">  100.00% 채팅 10/12-11/21 </v>
      </c>
      <c r="AR157" s="173"/>
      <c r="AS157" s="173"/>
    </row>
    <row r="158" spans="1:45" ht="12" customHeight="1" outlineLevel="3">
      <c r="A158" s="147"/>
      <c r="B158" s="147"/>
      <c r="C158" s="147">
        <v>4</v>
      </c>
      <c r="D158" s="167" t="s">
        <v>1816</v>
      </c>
      <c r="E158" s="148"/>
      <c r="F158" s="148"/>
      <c r="G158" s="148"/>
      <c r="H158" s="148" t="s">
        <v>1599</v>
      </c>
      <c r="I158" s="148"/>
      <c r="J158" s="148"/>
      <c r="K158" s="148"/>
      <c r="L158" s="148"/>
      <c r="M158" s="148"/>
      <c r="N158" s="148"/>
      <c r="O158" s="148"/>
      <c r="P158" s="149">
        <v>44846</v>
      </c>
      <c r="Q158" s="149">
        <v>44886</v>
      </c>
      <c r="R158" s="148"/>
      <c r="S158" s="150">
        <v>29</v>
      </c>
      <c r="T158" s="150">
        <v>29</v>
      </c>
      <c r="U158" s="150">
        <v>29</v>
      </c>
      <c r="V158" s="150">
        <v>29</v>
      </c>
      <c r="W158" s="149"/>
      <c r="X158" s="149"/>
      <c r="Y158" s="151"/>
      <c r="Z158" s="152">
        <v>0</v>
      </c>
      <c r="AA158" s="150"/>
      <c r="AB158" s="148" t="s">
        <v>1572</v>
      </c>
      <c r="AC158" s="153"/>
      <c r="AD158" s="166">
        <v>1</v>
      </c>
      <c r="AE158" s="176">
        <v>1</v>
      </c>
      <c r="AF158" s="172"/>
      <c r="AG158" s="173"/>
      <c r="AH158" s="173"/>
      <c r="AI158" s="173"/>
      <c r="AJ158" s="173"/>
      <c r="AK158" s="173"/>
      <c r="AL158" s="173"/>
      <c r="AM158" s="173"/>
      <c r="AN158" s="173"/>
      <c r="AO158" s="173"/>
      <c r="AP158" s="173"/>
      <c r="AQ158" s="173" t="str">
        <f>"  " &amp; TEXT(AE158,"#0.00%") &amp; " " &amp; "전체" &amp; "(이종수)" &amp; " " &amp; IF(P158="","",TEXT(P158,"M/D-")) &amp; IF(Q158="","",TEXT(Q158,"M/D")) &amp; " "</f>
        <v xml:space="preserve">  100.00% 전체(이종수) 10/12-11/21 </v>
      </c>
      <c r="AR158" s="173"/>
      <c r="AS158" s="173"/>
    </row>
    <row r="159" spans="1:45" ht="12" customHeight="1" outlineLevel="3">
      <c r="A159" s="147"/>
      <c r="B159" s="147"/>
      <c r="C159" s="147">
        <v>4</v>
      </c>
      <c r="D159" s="167" t="s">
        <v>1817</v>
      </c>
      <c r="E159" s="148"/>
      <c r="F159" s="148"/>
      <c r="G159" s="148"/>
      <c r="H159" s="148" t="s">
        <v>1600</v>
      </c>
      <c r="I159" s="148"/>
      <c r="J159" s="148"/>
      <c r="K159" s="148"/>
      <c r="L159" s="148"/>
      <c r="M159" s="148"/>
      <c r="N159" s="148"/>
      <c r="O159" s="148"/>
      <c r="P159" s="149">
        <v>44846</v>
      </c>
      <c r="Q159" s="149">
        <v>44886</v>
      </c>
      <c r="R159" s="148"/>
      <c r="S159" s="150">
        <v>29</v>
      </c>
      <c r="T159" s="150">
        <v>29</v>
      </c>
      <c r="U159" s="150">
        <v>29</v>
      </c>
      <c r="V159" s="150">
        <v>29</v>
      </c>
      <c r="W159" s="149"/>
      <c r="X159" s="149"/>
      <c r="Y159" s="151"/>
      <c r="Z159" s="152">
        <v>0</v>
      </c>
      <c r="AA159" s="150"/>
      <c r="AB159" s="148" t="s">
        <v>1572</v>
      </c>
      <c r="AC159" s="153"/>
      <c r="AD159" s="166">
        <v>1</v>
      </c>
      <c r="AE159" s="176">
        <v>1</v>
      </c>
      <c r="AF159" s="172"/>
      <c r="AG159" s="173"/>
      <c r="AH159" s="173"/>
      <c r="AI159" s="173"/>
      <c r="AJ159" s="173"/>
      <c r="AK159" s="173"/>
      <c r="AL159" s="173"/>
      <c r="AM159" s="173"/>
      <c r="AN159" s="173"/>
      <c r="AO159" s="173"/>
      <c r="AP159" s="173"/>
      <c r="AQ159" s="173" t="str">
        <f>"  " &amp; TEXT(AE159,"#0.00%") &amp; " " &amp; "귓속말" &amp; "(이종수)" &amp; " " &amp; IF(P159="","",TEXT(P159,"M/D-")) &amp; IF(Q159="","",TEXT(Q159,"M/D")) &amp; " "</f>
        <v xml:space="preserve">  100.00% 귓속말(이종수) 10/12-11/21 </v>
      </c>
      <c r="AR159" s="173"/>
      <c r="AS159" s="173"/>
    </row>
    <row r="160" spans="1:45" ht="12" customHeight="1" outlineLevel="2">
      <c r="A160" s="147"/>
      <c r="B160" s="147" t="s">
        <v>1353</v>
      </c>
      <c r="C160" s="147">
        <v>3</v>
      </c>
      <c r="D160" s="167" t="s">
        <v>1768</v>
      </c>
      <c r="E160" s="148"/>
      <c r="F160" s="148"/>
      <c r="G160" s="148" t="s">
        <v>1601</v>
      </c>
      <c r="H160" s="148"/>
      <c r="I160" s="148"/>
      <c r="J160" s="148"/>
      <c r="K160" s="148"/>
      <c r="L160" s="148"/>
      <c r="M160" s="148"/>
      <c r="N160" s="148"/>
      <c r="O160" s="148"/>
      <c r="P160" s="149">
        <v>44846</v>
      </c>
      <c r="Q160" s="149">
        <v>44886</v>
      </c>
      <c r="R160" s="148"/>
      <c r="S160" s="150">
        <v>232</v>
      </c>
      <c r="T160" s="150">
        <v>232</v>
      </c>
      <c r="U160" s="150">
        <v>29</v>
      </c>
      <c r="V160" s="150">
        <v>29</v>
      </c>
      <c r="W160" s="149"/>
      <c r="X160" s="149"/>
      <c r="Y160" s="151">
        <v>0</v>
      </c>
      <c r="Z160" s="152">
        <v>0</v>
      </c>
      <c r="AA160" s="150"/>
      <c r="AB160" s="148"/>
      <c r="AC160" s="153"/>
      <c r="AD160" s="166">
        <v>1</v>
      </c>
      <c r="AE160" s="211">
        <v>1</v>
      </c>
      <c r="AF160" s="172"/>
      <c r="AG160" s="173"/>
      <c r="AH160" s="173"/>
      <c r="AI160" s="173"/>
      <c r="AJ160" s="173"/>
      <c r="AK160" s="173"/>
      <c r="AL160" s="173"/>
      <c r="AM160" s="173"/>
      <c r="AN160" s="173"/>
      <c r="AO160" s="173"/>
      <c r="AP160" s="173"/>
      <c r="AQ160" s="173" t="str">
        <f>"  " &amp; TEXT(AE160,"#0.00%") &amp; " " &amp; "질문" &amp; " " &amp; IF(P160="","",TEXT(P160,"M/D-")) &amp; IF(Q160="","",TEXT(Q160,"M/D")) &amp; " "</f>
        <v xml:space="preserve">  100.00% 질문 10/12-11/21 </v>
      </c>
      <c r="AR160" s="173"/>
      <c r="AS160" s="173"/>
    </row>
    <row r="161" spans="1:45" ht="12" customHeight="1" outlineLevel="3">
      <c r="A161" s="147"/>
      <c r="B161" s="147" t="s">
        <v>1353</v>
      </c>
      <c r="C161" s="147">
        <v>4</v>
      </c>
      <c r="D161" s="167" t="s">
        <v>1818</v>
      </c>
      <c r="E161" s="148"/>
      <c r="F161" s="148"/>
      <c r="G161" s="148"/>
      <c r="H161" s="148" t="s">
        <v>1789</v>
      </c>
      <c r="I161" s="148"/>
      <c r="J161" s="148"/>
      <c r="K161" s="148"/>
      <c r="L161" s="148"/>
      <c r="M161" s="148"/>
      <c r="N161" s="148"/>
      <c r="O161" s="148"/>
      <c r="P161" s="149">
        <v>44846</v>
      </c>
      <c r="Q161" s="149">
        <v>44886</v>
      </c>
      <c r="R161" s="148"/>
      <c r="S161" s="150">
        <v>87</v>
      </c>
      <c r="T161" s="150">
        <v>87</v>
      </c>
      <c r="U161" s="150">
        <v>29</v>
      </c>
      <c r="V161" s="150">
        <v>29</v>
      </c>
      <c r="W161" s="149"/>
      <c r="X161" s="149"/>
      <c r="Y161" s="151">
        <v>0</v>
      </c>
      <c r="Z161" s="152">
        <v>0</v>
      </c>
      <c r="AA161" s="150"/>
      <c r="AB161" s="148"/>
      <c r="AC161" s="153"/>
      <c r="AD161" s="166">
        <v>1</v>
      </c>
      <c r="AE161" s="211">
        <v>1</v>
      </c>
      <c r="AF161" s="172"/>
      <c r="AG161" s="173"/>
      <c r="AH161" s="173"/>
      <c r="AI161" s="173"/>
      <c r="AJ161" s="173"/>
      <c r="AK161" s="173"/>
      <c r="AL161" s="173"/>
      <c r="AM161" s="173"/>
      <c r="AN161" s="173"/>
      <c r="AO161" s="173"/>
      <c r="AP161" s="173"/>
      <c r="AQ161" s="173" t="str">
        <f>"  " &amp; TEXT(AE161,"#0.00%") &amp; " " &amp; "기본형" &amp; " " &amp; IF(P161="","",TEXT(P161,"M/D-")) &amp; IF(Q161="","",TEXT(Q161,"M/D")) &amp; " "</f>
        <v xml:space="preserve">  100.00% 기본형 10/12-11/21 </v>
      </c>
      <c r="AR161" s="173"/>
      <c r="AS161" s="173"/>
    </row>
    <row r="162" spans="1:45" ht="12" customHeight="1" outlineLevel="4">
      <c r="A162" s="147"/>
      <c r="B162" s="147"/>
      <c r="C162" s="147">
        <v>5</v>
      </c>
      <c r="D162" s="167" t="s">
        <v>1819</v>
      </c>
      <c r="E162" s="148"/>
      <c r="F162" s="148"/>
      <c r="G162" s="148"/>
      <c r="H162" s="148"/>
      <c r="I162" s="148" t="s">
        <v>1758</v>
      </c>
      <c r="J162" s="148"/>
      <c r="K162" s="148"/>
      <c r="L162" s="148"/>
      <c r="M162" s="148"/>
      <c r="N162" s="148"/>
      <c r="O162" s="148"/>
      <c r="P162" s="149">
        <v>44846</v>
      </c>
      <c r="Q162" s="149">
        <v>44886</v>
      </c>
      <c r="R162" s="148"/>
      <c r="S162" s="150">
        <v>29</v>
      </c>
      <c r="T162" s="150">
        <v>29</v>
      </c>
      <c r="U162" s="150">
        <v>29</v>
      </c>
      <c r="V162" s="150">
        <v>29</v>
      </c>
      <c r="W162" s="149"/>
      <c r="X162" s="149"/>
      <c r="Y162" s="151"/>
      <c r="Z162" s="152">
        <v>0</v>
      </c>
      <c r="AA162" s="150"/>
      <c r="AB162" s="148" t="s">
        <v>1572</v>
      </c>
      <c r="AC162" s="153"/>
      <c r="AD162" s="166">
        <v>1</v>
      </c>
      <c r="AE162" s="176">
        <v>1</v>
      </c>
      <c r="AF162" s="172"/>
      <c r="AG162" s="173"/>
      <c r="AH162" s="173"/>
      <c r="AI162" s="173"/>
      <c r="AJ162" s="173"/>
      <c r="AK162" s="173"/>
      <c r="AL162" s="173"/>
      <c r="AM162" s="173"/>
      <c r="AN162" s="173"/>
      <c r="AO162" s="173"/>
      <c r="AP162" s="173"/>
      <c r="AQ162" s="173" t="str">
        <f>"  " &amp; TEXT(AE162,"#0.00%") &amp; " " &amp; "O/X" &amp; "(이종수)" &amp; " " &amp; IF(P162="","",TEXT(P162,"M/D-")) &amp; IF(Q162="","",TEXT(Q162,"M/D")) &amp; " "</f>
        <v xml:space="preserve">  100.00% O/X(이종수) 10/12-11/21 </v>
      </c>
      <c r="AR162" s="173"/>
      <c r="AS162" s="173"/>
    </row>
    <row r="163" spans="1:45" ht="12" customHeight="1" outlineLevel="4">
      <c r="A163" s="147"/>
      <c r="B163" s="147"/>
      <c r="C163" s="147">
        <v>5</v>
      </c>
      <c r="D163" s="167" t="s">
        <v>1820</v>
      </c>
      <c r="E163" s="148"/>
      <c r="F163" s="148"/>
      <c r="G163" s="148"/>
      <c r="H163" s="148"/>
      <c r="I163" s="148" t="s">
        <v>1602</v>
      </c>
      <c r="J163" s="148"/>
      <c r="K163" s="148"/>
      <c r="L163" s="148"/>
      <c r="M163" s="148"/>
      <c r="N163" s="148"/>
      <c r="O163" s="148"/>
      <c r="P163" s="149">
        <v>44846</v>
      </c>
      <c r="Q163" s="149">
        <v>44886</v>
      </c>
      <c r="R163" s="148"/>
      <c r="S163" s="150">
        <v>29</v>
      </c>
      <c r="T163" s="150">
        <v>29</v>
      </c>
      <c r="U163" s="150">
        <v>29</v>
      </c>
      <c r="V163" s="150">
        <v>29</v>
      </c>
      <c r="W163" s="149"/>
      <c r="X163" s="149"/>
      <c r="Y163" s="151"/>
      <c r="Z163" s="152">
        <v>0</v>
      </c>
      <c r="AA163" s="150"/>
      <c r="AB163" s="148" t="s">
        <v>1572</v>
      </c>
      <c r="AC163" s="153"/>
      <c r="AD163" s="166">
        <v>1</v>
      </c>
      <c r="AE163" s="176">
        <v>1</v>
      </c>
      <c r="AF163" s="172"/>
      <c r="AG163" s="173"/>
      <c r="AH163" s="173"/>
      <c r="AI163" s="173"/>
      <c r="AJ163" s="173"/>
      <c r="AK163" s="173"/>
      <c r="AL163" s="173"/>
      <c r="AM163" s="173"/>
      <c r="AN163" s="173"/>
      <c r="AO163" s="173"/>
      <c r="AP163" s="173"/>
      <c r="AQ163" s="173" t="str">
        <f>"  " &amp; TEXT(AE163,"#0.00%") &amp; " " &amp; "객관식" &amp; "(이종수)" &amp; " " &amp; IF(P163="","",TEXT(P163,"M/D-")) &amp; IF(Q163="","",TEXT(Q163,"M/D")) &amp; " "</f>
        <v xml:space="preserve">  100.00% 객관식(이종수) 10/12-11/21 </v>
      </c>
      <c r="AR163" s="173"/>
      <c r="AS163" s="173"/>
    </row>
    <row r="164" spans="1:45" ht="12" customHeight="1" outlineLevel="4">
      <c r="A164" s="147"/>
      <c r="B164" s="147"/>
      <c r="C164" s="147">
        <v>5</v>
      </c>
      <c r="D164" s="167" t="s">
        <v>1821</v>
      </c>
      <c r="E164" s="148"/>
      <c r="F164" s="148"/>
      <c r="G164" s="148"/>
      <c r="H164" s="148"/>
      <c r="I164" s="148" t="s">
        <v>1717</v>
      </c>
      <c r="J164" s="148"/>
      <c r="K164" s="148"/>
      <c r="L164" s="148"/>
      <c r="M164" s="148"/>
      <c r="N164" s="148"/>
      <c r="O164" s="148"/>
      <c r="P164" s="149">
        <v>44846</v>
      </c>
      <c r="Q164" s="149">
        <v>44886</v>
      </c>
      <c r="R164" s="148"/>
      <c r="S164" s="150">
        <v>29</v>
      </c>
      <c r="T164" s="150">
        <v>29</v>
      </c>
      <c r="U164" s="150">
        <v>29</v>
      </c>
      <c r="V164" s="150">
        <v>29</v>
      </c>
      <c r="W164" s="149"/>
      <c r="X164" s="149"/>
      <c r="Y164" s="151"/>
      <c r="Z164" s="152">
        <v>0</v>
      </c>
      <c r="AA164" s="150"/>
      <c r="AB164" s="148" t="s">
        <v>1572</v>
      </c>
      <c r="AC164" s="153"/>
      <c r="AD164" s="166">
        <v>1</v>
      </c>
      <c r="AE164" s="176">
        <v>1</v>
      </c>
      <c r="AF164" s="172"/>
      <c r="AG164" s="173"/>
      <c r="AH164" s="173"/>
      <c r="AI164" s="173"/>
      <c r="AJ164" s="173"/>
      <c r="AK164" s="173"/>
      <c r="AL164" s="173"/>
      <c r="AM164" s="173"/>
      <c r="AN164" s="173"/>
      <c r="AO164" s="173"/>
      <c r="AP164" s="173"/>
      <c r="AQ164" s="173" t="str">
        <f>"  " &amp; TEXT(AE164,"#0.00%") &amp; " " &amp; "주관식" &amp; "(이종수)" &amp; " " &amp; IF(P164="","",TEXT(P164,"M/D-")) &amp; IF(Q164="","",TEXT(Q164,"M/D")) &amp; " "</f>
        <v xml:space="preserve">  100.00% 주관식(이종수) 10/12-11/21 </v>
      </c>
      <c r="AR164" s="173"/>
      <c r="AS164" s="173"/>
    </row>
    <row r="165" spans="1:45" ht="12" customHeight="1" outlineLevel="3">
      <c r="A165" s="147"/>
      <c r="B165" s="147" t="s">
        <v>1353</v>
      </c>
      <c r="C165" s="147">
        <v>4</v>
      </c>
      <c r="D165" s="167" t="s">
        <v>1822</v>
      </c>
      <c r="E165" s="148"/>
      <c r="F165" s="148"/>
      <c r="G165" s="148"/>
      <c r="H165" s="148" t="s">
        <v>1716</v>
      </c>
      <c r="I165" s="148"/>
      <c r="J165" s="148"/>
      <c r="K165" s="148"/>
      <c r="L165" s="148"/>
      <c r="M165" s="148"/>
      <c r="N165" s="148"/>
      <c r="O165" s="148"/>
      <c r="P165" s="149">
        <v>44846</v>
      </c>
      <c r="Q165" s="149">
        <v>44886</v>
      </c>
      <c r="R165" s="148"/>
      <c r="S165" s="150">
        <v>87</v>
      </c>
      <c r="T165" s="150">
        <v>87</v>
      </c>
      <c r="U165" s="150">
        <v>29</v>
      </c>
      <c r="V165" s="150">
        <v>29</v>
      </c>
      <c r="W165" s="149"/>
      <c r="X165" s="149"/>
      <c r="Y165" s="151">
        <v>0</v>
      </c>
      <c r="Z165" s="152">
        <v>0</v>
      </c>
      <c r="AA165" s="150"/>
      <c r="AB165" s="148"/>
      <c r="AC165" s="153"/>
      <c r="AD165" s="166">
        <v>1</v>
      </c>
      <c r="AE165" s="211">
        <v>1</v>
      </c>
      <c r="AF165" s="172"/>
      <c r="AG165" s="173"/>
      <c r="AH165" s="173"/>
      <c r="AI165" s="173"/>
      <c r="AJ165" s="173"/>
      <c r="AK165" s="173"/>
      <c r="AL165" s="173"/>
      <c r="AM165" s="173"/>
      <c r="AN165" s="173"/>
      <c r="AO165" s="173"/>
      <c r="AP165" s="173"/>
      <c r="AQ165" s="173" t="str">
        <f>"  " &amp; TEXT(AE165,"#0.00%") &amp; " " &amp; "스피드 게임형" &amp; " " &amp; IF(P165="","",TEXT(P165,"M/D-")) &amp; IF(Q165="","",TEXT(Q165,"M/D")) &amp; " "</f>
        <v xml:space="preserve">  100.00% 스피드 게임형 10/12-11/21 </v>
      </c>
      <c r="AR165" s="173"/>
      <c r="AS165" s="173"/>
    </row>
    <row r="166" spans="1:45" ht="12" customHeight="1" outlineLevel="4">
      <c r="A166" s="147"/>
      <c r="B166" s="147"/>
      <c r="C166" s="147">
        <v>5</v>
      </c>
      <c r="D166" s="167" t="s">
        <v>1823</v>
      </c>
      <c r="E166" s="148"/>
      <c r="F166" s="148"/>
      <c r="G166" s="148"/>
      <c r="H166" s="148"/>
      <c r="I166" s="148" t="s">
        <v>1758</v>
      </c>
      <c r="J166" s="148"/>
      <c r="K166" s="148"/>
      <c r="L166" s="148"/>
      <c r="M166" s="148"/>
      <c r="N166" s="148"/>
      <c r="O166" s="148"/>
      <c r="P166" s="149">
        <v>44846</v>
      </c>
      <c r="Q166" s="149">
        <v>44886</v>
      </c>
      <c r="R166" s="148"/>
      <c r="S166" s="150">
        <v>29</v>
      </c>
      <c r="T166" s="150">
        <v>29</v>
      </c>
      <c r="U166" s="150">
        <v>29</v>
      </c>
      <c r="V166" s="150">
        <v>29</v>
      </c>
      <c r="W166" s="149"/>
      <c r="X166" s="149"/>
      <c r="Y166" s="151"/>
      <c r="Z166" s="152">
        <v>0</v>
      </c>
      <c r="AA166" s="150"/>
      <c r="AB166" s="148" t="s">
        <v>1572</v>
      </c>
      <c r="AC166" s="153"/>
      <c r="AD166" s="166">
        <v>1</v>
      </c>
      <c r="AE166" s="176">
        <v>1</v>
      </c>
      <c r="AF166" s="172"/>
      <c r="AG166" s="173"/>
      <c r="AH166" s="173"/>
      <c r="AI166" s="173"/>
      <c r="AJ166" s="173"/>
      <c r="AK166" s="173"/>
      <c r="AL166" s="173"/>
      <c r="AM166" s="173"/>
      <c r="AN166" s="173"/>
      <c r="AO166" s="173"/>
      <c r="AP166" s="173"/>
      <c r="AQ166" s="173" t="str">
        <f>"  " &amp; TEXT(AE166,"#0.00%") &amp; " " &amp; "O/X" &amp; "(이종수)" &amp; " " &amp; IF(P166="","",TEXT(P166,"M/D-")) &amp; IF(Q166="","",TEXT(Q166,"M/D")) &amp; " "</f>
        <v xml:space="preserve">  100.00% O/X(이종수) 10/12-11/21 </v>
      </c>
      <c r="AR166" s="173"/>
      <c r="AS166" s="173"/>
    </row>
    <row r="167" spans="1:45" ht="12" customHeight="1" outlineLevel="4">
      <c r="A167" s="147"/>
      <c r="B167" s="147"/>
      <c r="C167" s="147">
        <v>5</v>
      </c>
      <c r="D167" s="167" t="s">
        <v>1824</v>
      </c>
      <c r="E167" s="148"/>
      <c r="F167" s="148"/>
      <c r="G167" s="148"/>
      <c r="H167" s="148"/>
      <c r="I167" s="148" t="s">
        <v>1602</v>
      </c>
      <c r="J167" s="148"/>
      <c r="K167" s="148"/>
      <c r="L167" s="148"/>
      <c r="M167" s="148"/>
      <c r="N167" s="148"/>
      <c r="O167" s="148"/>
      <c r="P167" s="149">
        <v>44846</v>
      </c>
      <c r="Q167" s="149">
        <v>44886</v>
      </c>
      <c r="R167" s="148"/>
      <c r="S167" s="150">
        <v>29</v>
      </c>
      <c r="T167" s="150">
        <v>29</v>
      </c>
      <c r="U167" s="150">
        <v>29</v>
      </c>
      <c r="V167" s="150">
        <v>29</v>
      </c>
      <c r="W167" s="149"/>
      <c r="X167" s="149"/>
      <c r="Y167" s="151"/>
      <c r="Z167" s="152">
        <v>0</v>
      </c>
      <c r="AA167" s="150"/>
      <c r="AB167" s="148" t="s">
        <v>1572</v>
      </c>
      <c r="AC167" s="153"/>
      <c r="AD167" s="166">
        <v>1</v>
      </c>
      <c r="AE167" s="176">
        <v>1</v>
      </c>
      <c r="AF167" s="172"/>
      <c r="AG167" s="173"/>
      <c r="AH167" s="173"/>
      <c r="AI167" s="173"/>
      <c r="AJ167" s="173"/>
      <c r="AK167" s="173"/>
      <c r="AL167" s="173"/>
      <c r="AM167" s="173"/>
      <c r="AN167" s="173"/>
      <c r="AO167" s="173"/>
      <c r="AP167" s="173"/>
      <c r="AQ167" s="173" t="str">
        <f>"  " &amp; TEXT(AE167,"#0.00%") &amp; " " &amp; "객관식" &amp; "(이종수)" &amp; " " &amp; IF(P167="","",TEXT(P167,"M/D-")) &amp; IF(Q167="","",TEXT(Q167,"M/D")) &amp; " "</f>
        <v xml:space="preserve">  100.00% 객관식(이종수) 10/12-11/21 </v>
      </c>
      <c r="AR167" s="173"/>
      <c r="AS167" s="173"/>
    </row>
    <row r="168" spans="1:45" ht="12" customHeight="1" outlineLevel="4">
      <c r="A168" s="147"/>
      <c r="B168" s="147"/>
      <c r="C168" s="147">
        <v>5</v>
      </c>
      <c r="D168" s="167" t="s">
        <v>1825</v>
      </c>
      <c r="E168" s="148"/>
      <c r="F168" s="148"/>
      <c r="G168" s="148"/>
      <c r="H168" s="148"/>
      <c r="I168" s="148" t="s">
        <v>1717</v>
      </c>
      <c r="J168" s="148"/>
      <c r="K168" s="148"/>
      <c r="L168" s="148"/>
      <c r="M168" s="148"/>
      <c r="N168" s="148"/>
      <c r="O168" s="148"/>
      <c r="P168" s="149">
        <v>44846</v>
      </c>
      <c r="Q168" s="149">
        <v>44886</v>
      </c>
      <c r="R168" s="148"/>
      <c r="S168" s="150">
        <v>29</v>
      </c>
      <c r="T168" s="150">
        <v>29</v>
      </c>
      <c r="U168" s="150">
        <v>29</v>
      </c>
      <c r="V168" s="150">
        <v>29</v>
      </c>
      <c r="W168" s="149"/>
      <c r="X168" s="149"/>
      <c r="Y168" s="151"/>
      <c r="Z168" s="152">
        <v>0</v>
      </c>
      <c r="AA168" s="150"/>
      <c r="AB168" s="148" t="s">
        <v>1572</v>
      </c>
      <c r="AC168" s="153"/>
      <c r="AD168" s="166">
        <v>1</v>
      </c>
      <c r="AE168" s="176">
        <v>1</v>
      </c>
      <c r="AF168" s="172"/>
      <c r="AG168" s="173"/>
      <c r="AH168" s="173"/>
      <c r="AI168" s="173"/>
      <c r="AJ168" s="173"/>
      <c r="AK168" s="173"/>
      <c r="AL168" s="173"/>
      <c r="AM168" s="173"/>
      <c r="AN168" s="173"/>
      <c r="AO168" s="173"/>
      <c r="AP168" s="173"/>
      <c r="AQ168" s="173" t="str">
        <f>"  " &amp; TEXT(AE168,"#0.00%") &amp; " " &amp; "주관식" &amp; "(이종수)" &amp; " " &amp; IF(P168="","",TEXT(P168,"M/D-")) &amp; IF(Q168="","",TEXT(Q168,"M/D")) &amp; " "</f>
        <v xml:space="preserve">  100.00% 주관식(이종수) 10/12-11/21 </v>
      </c>
      <c r="AR168" s="173"/>
      <c r="AS168" s="173"/>
    </row>
    <row r="169" spans="1:45" ht="12" customHeight="1" outlineLevel="3">
      <c r="A169" s="147"/>
      <c r="B169" s="147" t="s">
        <v>1353</v>
      </c>
      <c r="C169" s="147">
        <v>4</v>
      </c>
      <c r="D169" s="167" t="s">
        <v>1826</v>
      </c>
      <c r="E169" s="148"/>
      <c r="F169" s="148"/>
      <c r="G169" s="148"/>
      <c r="H169" s="148" t="s">
        <v>1715</v>
      </c>
      <c r="I169" s="148"/>
      <c r="J169" s="148"/>
      <c r="K169" s="148"/>
      <c r="L169" s="148"/>
      <c r="M169" s="148"/>
      <c r="N169" s="148"/>
      <c r="O169" s="148"/>
      <c r="P169" s="149">
        <v>44846</v>
      </c>
      <c r="Q169" s="149">
        <v>44886</v>
      </c>
      <c r="R169" s="148"/>
      <c r="S169" s="150">
        <v>58</v>
      </c>
      <c r="T169" s="150">
        <v>58</v>
      </c>
      <c r="U169" s="150">
        <v>29</v>
      </c>
      <c r="V169" s="150">
        <v>29</v>
      </c>
      <c r="W169" s="149"/>
      <c r="X169" s="149"/>
      <c r="Y169" s="151">
        <v>0</v>
      </c>
      <c r="Z169" s="152">
        <v>0</v>
      </c>
      <c r="AA169" s="150"/>
      <c r="AB169" s="148"/>
      <c r="AC169" s="153"/>
      <c r="AD169" s="166">
        <v>1</v>
      </c>
      <c r="AE169" s="211">
        <v>1</v>
      </c>
      <c r="AF169" s="172"/>
      <c r="AG169" s="173"/>
      <c r="AH169" s="173"/>
      <c r="AI169" s="173"/>
      <c r="AJ169" s="173"/>
      <c r="AK169" s="173"/>
      <c r="AL169" s="173"/>
      <c r="AM169" s="173"/>
      <c r="AN169" s="173"/>
      <c r="AO169" s="173"/>
      <c r="AP169" s="173"/>
      <c r="AQ169" s="173" t="str">
        <f>"  " &amp; TEXT(AE169,"#0.00%") &amp; " " &amp; "캐릭터 게임형" &amp; " " &amp; IF(P169="","",TEXT(P169,"M/D-")) &amp; IF(Q169="","",TEXT(Q169,"M/D")) &amp; " "</f>
        <v xml:space="preserve">  100.00% 캐릭터 게임형 10/12-11/21 </v>
      </c>
      <c r="AR169" s="173"/>
      <c r="AS169" s="173"/>
    </row>
    <row r="170" spans="1:45" ht="12" customHeight="1" outlineLevel="4">
      <c r="A170" s="147"/>
      <c r="B170" s="147"/>
      <c r="C170" s="147">
        <v>5</v>
      </c>
      <c r="D170" s="167" t="s">
        <v>1827</v>
      </c>
      <c r="E170" s="148"/>
      <c r="F170" s="148"/>
      <c r="G170" s="148"/>
      <c r="H170" s="148"/>
      <c r="I170" s="148" t="s">
        <v>1758</v>
      </c>
      <c r="J170" s="148"/>
      <c r="K170" s="148"/>
      <c r="L170" s="148"/>
      <c r="M170" s="148"/>
      <c r="N170" s="148"/>
      <c r="O170" s="148"/>
      <c r="P170" s="149">
        <v>44846</v>
      </c>
      <c r="Q170" s="149">
        <v>44886</v>
      </c>
      <c r="R170" s="148"/>
      <c r="S170" s="150">
        <v>29</v>
      </c>
      <c r="T170" s="150">
        <v>29</v>
      </c>
      <c r="U170" s="150">
        <v>29</v>
      </c>
      <c r="V170" s="150">
        <v>29</v>
      </c>
      <c r="W170" s="149"/>
      <c r="X170" s="149"/>
      <c r="Y170" s="151"/>
      <c r="Z170" s="152">
        <v>0</v>
      </c>
      <c r="AA170" s="150"/>
      <c r="AB170" s="148" t="s">
        <v>1572</v>
      </c>
      <c r="AC170" s="153"/>
      <c r="AD170" s="166">
        <v>1</v>
      </c>
      <c r="AE170" s="176">
        <v>1</v>
      </c>
      <c r="AF170" s="172"/>
      <c r="AG170" s="173"/>
      <c r="AH170" s="173"/>
      <c r="AI170" s="173"/>
      <c r="AJ170" s="173"/>
      <c r="AK170" s="173"/>
      <c r="AL170" s="173"/>
      <c r="AM170" s="173"/>
      <c r="AN170" s="173"/>
      <c r="AO170" s="173"/>
      <c r="AP170" s="173"/>
      <c r="AQ170" s="173" t="str">
        <f>"  " &amp; TEXT(AE170,"#0.00%") &amp; " " &amp; "O/X" &amp; "(이종수)" &amp; " " &amp; IF(P170="","",TEXT(P170,"M/D-")) &amp; IF(Q170="","",TEXT(Q170,"M/D")) &amp; " "</f>
        <v xml:space="preserve">  100.00% O/X(이종수) 10/12-11/21 </v>
      </c>
      <c r="AR170" s="173"/>
      <c r="AS170" s="173"/>
    </row>
    <row r="171" spans="1:45" ht="12" customHeight="1" outlineLevel="4">
      <c r="A171" s="147"/>
      <c r="B171" s="147"/>
      <c r="C171" s="147">
        <v>5</v>
      </c>
      <c r="D171" s="167" t="s">
        <v>1828</v>
      </c>
      <c r="E171" s="148"/>
      <c r="F171" s="148"/>
      <c r="G171" s="148"/>
      <c r="H171" s="148"/>
      <c r="I171" s="148" t="s">
        <v>1602</v>
      </c>
      <c r="J171" s="148"/>
      <c r="K171" s="148"/>
      <c r="L171" s="148"/>
      <c r="M171" s="148"/>
      <c r="N171" s="148"/>
      <c r="O171" s="148"/>
      <c r="P171" s="149">
        <v>44846</v>
      </c>
      <c r="Q171" s="149">
        <v>44886</v>
      </c>
      <c r="R171" s="148"/>
      <c r="S171" s="150">
        <v>29</v>
      </c>
      <c r="T171" s="150">
        <v>29</v>
      </c>
      <c r="U171" s="150">
        <v>29</v>
      </c>
      <c r="V171" s="150">
        <v>29</v>
      </c>
      <c r="W171" s="149"/>
      <c r="X171" s="149"/>
      <c r="Y171" s="151"/>
      <c r="Z171" s="152">
        <v>0</v>
      </c>
      <c r="AA171" s="150"/>
      <c r="AB171" s="148" t="s">
        <v>1572</v>
      </c>
      <c r="AC171" s="153"/>
      <c r="AD171" s="166">
        <v>1</v>
      </c>
      <c r="AE171" s="176">
        <v>1</v>
      </c>
      <c r="AF171" s="172"/>
      <c r="AG171" s="173"/>
      <c r="AH171" s="173"/>
      <c r="AI171" s="173"/>
      <c r="AJ171" s="173"/>
      <c r="AK171" s="173"/>
      <c r="AL171" s="173"/>
      <c r="AM171" s="173"/>
      <c r="AN171" s="173"/>
      <c r="AO171" s="173"/>
      <c r="AP171" s="173"/>
      <c r="AQ171" s="173" t="str">
        <f>"  " &amp; TEXT(AE171,"#0.00%") &amp; " " &amp; "객관식" &amp; "(이종수)" &amp; " " &amp; IF(P171="","",TEXT(P171,"M/D-")) &amp; IF(Q171="","",TEXT(Q171,"M/D")) &amp; " "</f>
        <v xml:space="preserve">  100.00% 객관식(이종수) 10/12-11/21 </v>
      </c>
      <c r="AR171" s="173"/>
      <c r="AS171" s="173"/>
    </row>
    <row r="172" spans="1:45" ht="12" customHeight="1" outlineLevel="2">
      <c r="A172" s="147"/>
      <c r="B172" s="147" t="s">
        <v>1353</v>
      </c>
      <c r="C172" s="147">
        <v>3</v>
      </c>
      <c r="D172" s="167" t="s">
        <v>1769</v>
      </c>
      <c r="E172" s="148"/>
      <c r="F172" s="148"/>
      <c r="G172" s="148" t="s">
        <v>1754</v>
      </c>
      <c r="H172" s="148"/>
      <c r="I172" s="148"/>
      <c r="J172" s="148"/>
      <c r="K172" s="148"/>
      <c r="L172" s="148"/>
      <c r="M172" s="148"/>
      <c r="N172" s="148"/>
      <c r="O172" s="148"/>
      <c r="P172" s="149">
        <v>44846</v>
      </c>
      <c r="Q172" s="149">
        <v>44886</v>
      </c>
      <c r="R172" s="148"/>
      <c r="S172" s="150">
        <v>174</v>
      </c>
      <c r="T172" s="150">
        <v>174</v>
      </c>
      <c r="U172" s="150">
        <v>29</v>
      </c>
      <c r="V172" s="150">
        <v>29</v>
      </c>
      <c r="W172" s="149"/>
      <c r="X172" s="149"/>
      <c r="Y172" s="151">
        <v>0</v>
      </c>
      <c r="Z172" s="152">
        <v>0</v>
      </c>
      <c r="AA172" s="150"/>
      <c r="AB172" s="148"/>
      <c r="AC172" s="153"/>
      <c r="AD172" s="166">
        <v>1</v>
      </c>
      <c r="AE172" s="211">
        <v>1</v>
      </c>
      <c r="AF172" s="172"/>
      <c r="AG172" s="173"/>
      <c r="AH172" s="173"/>
      <c r="AI172" s="173"/>
      <c r="AJ172" s="173"/>
      <c r="AK172" s="173"/>
      <c r="AL172" s="173"/>
      <c r="AM172" s="173"/>
      <c r="AN172" s="173"/>
      <c r="AO172" s="173"/>
      <c r="AP172" s="173"/>
      <c r="AQ172" s="173" t="str">
        <f>"  " &amp; TEXT(AE172,"#0.00%") &amp; " " &amp; "필기노트" &amp; " " &amp; IF(P172="","",TEXT(P172,"M/D-")) &amp; IF(Q172="","",TEXT(Q172,"M/D")) &amp; " "</f>
        <v xml:space="preserve">  100.00% 필기노트 10/12-11/21 </v>
      </c>
      <c r="AR172" s="173"/>
      <c r="AS172" s="173"/>
    </row>
    <row r="173" spans="1:45" ht="12" customHeight="1" outlineLevel="3">
      <c r="A173" s="147"/>
      <c r="B173" s="147"/>
      <c r="C173" s="147">
        <v>4</v>
      </c>
      <c r="D173" s="167" t="s">
        <v>1829</v>
      </c>
      <c r="E173" s="148"/>
      <c r="F173" s="148"/>
      <c r="G173" s="148"/>
      <c r="H173" s="148" t="s">
        <v>1604</v>
      </c>
      <c r="I173" s="148"/>
      <c r="J173" s="148"/>
      <c r="K173" s="148"/>
      <c r="L173" s="148"/>
      <c r="M173" s="148"/>
      <c r="N173" s="148"/>
      <c r="O173" s="148"/>
      <c r="P173" s="149">
        <v>44846</v>
      </c>
      <c r="Q173" s="149">
        <v>44886</v>
      </c>
      <c r="R173" s="148"/>
      <c r="S173" s="150">
        <v>29</v>
      </c>
      <c r="T173" s="150">
        <v>29</v>
      </c>
      <c r="U173" s="150">
        <v>29</v>
      </c>
      <c r="V173" s="150">
        <v>29</v>
      </c>
      <c r="W173" s="149"/>
      <c r="X173" s="149"/>
      <c r="Y173" s="151"/>
      <c r="Z173" s="152">
        <v>0</v>
      </c>
      <c r="AA173" s="150"/>
      <c r="AB173" s="148" t="s">
        <v>1572</v>
      </c>
      <c r="AC173" s="153"/>
      <c r="AD173" s="166">
        <v>1</v>
      </c>
      <c r="AE173" s="176">
        <v>1</v>
      </c>
      <c r="AF173" s="172"/>
      <c r="AG173" s="173"/>
      <c r="AH173" s="173"/>
      <c r="AI173" s="173"/>
      <c r="AJ173" s="173"/>
      <c r="AK173" s="173"/>
      <c r="AL173" s="173"/>
      <c r="AM173" s="173"/>
      <c r="AN173" s="173"/>
      <c r="AO173" s="173"/>
      <c r="AP173" s="173"/>
      <c r="AQ173" s="173" t="str">
        <f>"  " &amp; TEXT(AE173,"#0.00%") &amp; " " &amp; "텍스트" &amp; "(이종수)" &amp; " " &amp; IF(P173="","",TEXT(P173,"M/D-")) &amp; IF(Q173="","",TEXT(Q173,"M/D")) &amp; " "</f>
        <v xml:space="preserve">  100.00% 텍스트(이종수) 10/12-11/21 </v>
      </c>
      <c r="AR173" s="173"/>
      <c r="AS173" s="173"/>
    </row>
    <row r="174" spans="1:45" ht="12" customHeight="1" outlineLevel="3">
      <c r="A174" s="147"/>
      <c r="B174" s="147"/>
      <c r="C174" s="147">
        <v>4</v>
      </c>
      <c r="D174" s="167" t="s">
        <v>1830</v>
      </c>
      <c r="E174" s="148"/>
      <c r="F174" s="148"/>
      <c r="G174" s="148"/>
      <c r="H174" s="148" t="s">
        <v>1605</v>
      </c>
      <c r="I174" s="148"/>
      <c r="J174" s="148"/>
      <c r="K174" s="148"/>
      <c r="L174" s="148"/>
      <c r="M174" s="148"/>
      <c r="N174" s="148"/>
      <c r="O174" s="148"/>
      <c r="P174" s="149">
        <v>44846</v>
      </c>
      <c r="Q174" s="149">
        <v>44886</v>
      </c>
      <c r="R174" s="148"/>
      <c r="S174" s="150">
        <v>29</v>
      </c>
      <c r="T174" s="150">
        <v>29</v>
      </c>
      <c r="U174" s="150">
        <v>29</v>
      </c>
      <c r="V174" s="150">
        <v>29</v>
      </c>
      <c r="W174" s="149"/>
      <c r="X174" s="149"/>
      <c r="Y174" s="151"/>
      <c r="Z174" s="152">
        <v>0</v>
      </c>
      <c r="AA174" s="150"/>
      <c r="AB174" s="148" t="s">
        <v>1572</v>
      </c>
      <c r="AC174" s="153"/>
      <c r="AD174" s="166">
        <v>1</v>
      </c>
      <c r="AE174" s="176">
        <v>1</v>
      </c>
      <c r="AF174" s="172"/>
      <c r="AG174" s="173"/>
      <c r="AH174" s="173"/>
      <c r="AI174" s="173"/>
      <c r="AJ174" s="173"/>
      <c r="AK174" s="173"/>
      <c r="AL174" s="173"/>
      <c r="AM174" s="173"/>
      <c r="AN174" s="173"/>
      <c r="AO174" s="173"/>
      <c r="AP174" s="173"/>
      <c r="AQ174" s="173" t="str">
        <f>"  " &amp; TEXT(AE174,"#0.00%") &amp; " " &amp; "펜" &amp; "(이종수)" &amp; " " &amp; IF(P174="","",TEXT(P174,"M/D-")) &amp; IF(Q174="","",TEXT(Q174,"M/D")) &amp; " "</f>
        <v xml:space="preserve">  100.00% 펜(이종수) 10/12-11/21 </v>
      </c>
      <c r="AR174" s="173"/>
      <c r="AS174" s="173"/>
    </row>
    <row r="175" spans="1:45" ht="12" customHeight="1" outlineLevel="3">
      <c r="A175" s="147"/>
      <c r="B175" s="147"/>
      <c r="C175" s="147">
        <v>4</v>
      </c>
      <c r="D175" s="167" t="s">
        <v>1831</v>
      </c>
      <c r="E175" s="148"/>
      <c r="F175" s="148"/>
      <c r="G175" s="148"/>
      <c r="H175" s="148" t="s">
        <v>1606</v>
      </c>
      <c r="I175" s="148"/>
      <c r="J175" s="148"/>
      <c r="K175" s="148"/>
      <c r="L175" s="148"/>
      <c r="M175" s="148"/>
      <c r="N175" s="148"/>
      <c r="O175" s="148"/>
      <c r="P175" s="149">
        <v>44846</v>
      </c>
      <c r="Q175" s="149">
        <v>44886</v>
      </c>
      <c r="R175" s="148"/>
      <c r="S175" s="150">
        <v>29</v>
      </c>
      <c r="T175" s="150">
        <v>29</v>
      </c>
      <c r="U175" s="150">
        <v>29</v>
      </c>
      <c r="V175" s="150">
        <v>29</v>
      </c>
      <c r="W175" s="149"/>
      <c r="X175" s="149"/>
      <c r="Y175" s="151"/>
      <c r="Z175" s="152">
        <v>0</v>
      </c>
      <c r="AA175" s="150"/>
      <c r="AB175" s="148" t="s">
        <v>1572</v>
      </c>
      <c r="AC175" s="153"/>
      <c r="AD175" s="166">
        <v>1</v>
      </c>
      <c r="AE175" s="176">
        <v>1</v>
      </c>
      <c r="AF175" s="172"/>
      <c r="AG175" s="173"/>
      <c r="AH175" s="173"/>
      <c r="AI175" s="173"/>
      <c r="AJ175" s="173"/>
      <c r="AK175" s="173"/>
      <c r="AL175" s="173"/>
      <c r="AM175" s="173"/>
      <c r="AN175" s="173"/>
      <c r="AO175" s="173"/>
      <c r="AP175" s="173"/>
      <c r="AQ175" s="173" t="str">
        <f>"  " &amp; TEXT(AE175,"#0.00%") &amp; " " &amp; "도형" &amp; "(이종수)" &amp; " " &amp; IF(P175="","",TEXT(P175,"M/D-")) &amp; IF(Q175="","",TEXT(Q175,"M/D")) &amp; " "</f>
        <v xml:space="preserve">  100.00% 도형(이종수) 10/12-11/21 </v>
      </c>
      <c r="AR175" s="173"/>
      <c r="AS175" s="173"/>
    </row>
    <row r="176" spans="1:45" ht="12" customHeight="1" outlineLevel="3">
      <c r="A176" s="147"/>
      <c r="B176" s="147"/>
      <c r="C176" s="147">
        <v>4</v>
      </c>
      <c r="D176" s="167" t="s">
        <v>1832</v>
      </c>
      <c r="E176" s="148"/>
      <c r="F176" s="148"/>
      <c r="G176" s="148"/>
      <c r="H176" s="148" t="s">
        <v>1707</v>
      </c>
      <c r="I176" s="148"/>
      <c r="J176" s="148"/>
      <c r="K176" s="148"/>
      <c r="L176" s="148"/>
      <c r="M176" s="148"/>
      <c r="N176" s="148"/>
      <c r="O176" s="148"/>
      <c r="P176" s="149">
        <v>44846</v>
      </c>
      <c r="Q176" s="149">
        <v>44886</v>
      </c>
      <c r="R176" s="148"/>
      <c r="S176" s="150">
        <v>29</v>
      </c>
      <c r="T176" s="150">
        <v>29</v>
      </c>
      <c r="U176" s="150">
        <v>29</v>
      </c>
      <c r="V176" s="150">
        <v>29</v>
      </c>
      <c r="W176" s="149"/>
      <c r="X176" s="149"/>
      <c r="Y176" s="151"/>
      <c r="Z176" s="152">
        <v>0</v>
      </c>
      <c r="AA176" s="150"/>
      <c r="AB176" s="148" t="s">
        <v>1572</v>
      </c>
      <c r="AC176" s="153"/>
      <c r="AD176" s="166">
        <v>1</v>
      </c>
      <c r="AE176" s="176">
        <v>1</v>
      </c>
      <c r="AF176" s="172"/>
      <c r="AG176" s="173"/>
      <c r="AH176" s="173"/>
      <c r="AI176" s="173"/>
      <c r="AJ176" s="173"/>
      <c r="AK176" s="173"/>
      <c r="AL176" s="173"/>
      <c r="AM176" s="173"/>
      <c r="AN176" s="173"/>
      <c r="AO176" s="173"/>
      <c r="AP176" s="173"/>
      <c r="AQ176" s="173" t="str">
        <f>"  " &amp; TEXT(AE176,"#0.00%") &amp; " " &amp; "파일 저장 기능" &amp; "(이종수)" &amp; " " &amp; IF(P176="","",TEXT(P176,"M/D-")) &amp; IF(Q176="","",TEXT(Q176,"M/D")) &amp; " "</f>
        <v xml:space="preserve">  100.00% 파일 저장 기능(이종수) 10/12-11/21 </v>
      </c>
      <c r="AR176" s="173"/>
      <c r="AS176" s="173"/>
    </row>
    <row r="177" spans="1:45" ht="12" customHeight="1" outlineLevel="3">
      <c r="A177" s="147"/>
      <c r="B177" s="147"/>
      <c r="C177" s="147">
        <v>4</v>
      </c>
      <c r="D177" s="167" t="s">
        <v>1833</v>
      </c>
      <c r="E177" s="148"/>
      <c r="F177" s="148"/>
      <c r="G177" s="148"/>
      <c r="H177" s="148" t="s">
        <v>1708</v>
      </c>
      <c r="I177" s="148"/>
      <c r="J177" s="148"/>
      <c r="K177" s="148"/>
      <c r="L177" s="148"/>
      <c r="M177" s="148"/>
      <c r="N177" s="148"/>
      <c r="O177" s="148"/>
      <c r="P177" s="149">
        <v>44846</v>
      </c>
      <c r="Q177" s="149">
        <v>44886</v>
      </c>
      <c r="R177" s="148"/>
      <c r="S177" s="150">
        <v>29</v>
      </c>
      <c r="T177" s="150">
        <v>29</v>
      </c>
      <c r="U177" s="150">
        <v>29</v>
      </c>
      <c r="V177" s="150">
        <v>29</v>
      </c>
      <c r="W177" s="149"/>
      <c r="X177" s="149"/>
      <c r="Y177" s="151"/>
      <c r="Z177" s="152">
        <v>0</v>
      </c>
      <c r="AA177" s="150"/>
      <c r="AB177" s="148" t="s">
        <v>1572</v>
      </c>
      <c r="AC177" s="153"/>
      <c r="AD177" s="166">
        <v>1</v>
      </c>
      <c r="AE177" s="176">
        <v>1</v>
      </c>
      <c r="AF177" s="172"/>
      <c r="AG177" s="173"/>
      <c r="AH177" s="173"/>
      <c r="AI177" s="173"/>
      <c r="AJ177" s="173"/>
      <c r="AK177" s="173"/>
      <c r="AL177" s="173"/>
      <c r="AM177" s="173"/>
      <c r="AN177" s="173"/>
      <c r="AO177" s="173"/>
      <c r="AP177" s="173"/>
      <c r="AQ177" s="173" t="str">
        <f>"  " &amp; TEXT(AE177,"#0.00%") &amp; " " &amp; "교수 화면 캡쳐기능" &amp; "(이종수)" &amp; " " &amp; IF(P177="","",TEXT(P177,"M/D-")) &amp; IF(Q177="","",TEXT(Q177,"M/D")) &amp; " "</f>
        <v xml:space="preserve">  100.00% 교수 화면 캡쳐기능(이종수) 10/12-11/21 </v>
      </c>
      <c r="AR177" s="173"/>
      <c r="AS177" s="173"/>
    </row>
    <row r="178" spans="1:45" ht="12" customHeight="1" outlineLevel="3">
      <c r="A178" s="147"/>
      <c r="B178" s="147"/>
      <c r="C178" s="147">
        <v>4</v>
      </c>
      <c r="D178" s="167" t="s">
        <v>1834</v>
      </c>
      <c r="E178" s="148"/>
      <c r="F178" s="148"/>
      <c r="G178" s="148"/>
      <c r="H178" s="148" t="s">
        <v>1718</v>
      </c>
      <c r="I178" s="148"/>
      <c r="J178" s="148"/>
      <c r="K178" s="148"/>
      <c r="L178" s="148"/>
      <c r="M178" s="148"/>
      <c r="N178" s="148"/>
      <c r="O178" s="148"/>
      <c r="P178" s="149">
        <v>44846</v>
      </c>
      <c r="Q178" s="149">
        <v>44886</v>
      </c>
      <c r="R178" s="148"/>
      <c r="S178" s="150">
        <v>29</v>
      </c>
      <c r="T178" s="150">
        <v>29</v>
      </c>
      <c r="U178" s="150">
        <v>29</v>
      </c>
      <c r="V178" s="150">
        <v>29</v>
      </c>
      <c r="W178" s="149"/>
      <c r="X178" s="149"/>
      <c r="Y178" s="151"/>
      <c r="Z178" s="152">
        <v>0</v>
      </c>
      <c r="AA178" s="150"/>
      <c r="AB178" s="148" t="s">
        <v>1572</v>
      </c>
      <c r="AC178" s="153"/>
      <c r="AD178" s="166">
        <v>1</v>
      </c>
      <c r="AE178" s="176">
        <v>1</v>
      </c>
      <c r="AF178" s="172"/>
      <c r="AG178" s="173"/>
      <c r="AH178" s="173"/>
      <c r="AI178" s="173"/>
      <c r="AJ178" s="173"/>
      <c r="AK178" s="173"/>
      <c r="AL178" s="173"/>
      <c r="AM178" s="173"/>
      <c r="AN178" s="173"/>
      <c r="AO178" s="173"/>
      <c r="AP178" s="173"/>
      <c r="AQ178" s="173" t="str">
        <f>"  " &amp; TEXT(AE178,"#0.00%") &amp; " " &amp; "캡처 리스트" &amp; "(이종수)" &amp; " " &amp; IF(P178="","",TEXT(P178,"M/D-")) &amp; IF(Q178="","",TEXT(Q178,"M/D")) &amp; " "</f>
        <v xml:space="preserve">  100.00% 캡처 리스트(이종수) 10/12-11/21 </v>
      </c>
      <c r="AR178" s="173"/>
      <c r="AS178" s="173"/>
    </row>
    <row r="179" spans="1:45" ht="12" customHeight="1" outlineLevel="2">
      <c r="A179" s="147"/>
      <c r="B179" s="147" t="s">
        <v>1353</v>
      </c>
      <c r="C179" s="147">
        <v>3</v>
      </c>
      <c r="D179" s="167" t="s">
        <v>1770</v>
      </c>
      <c r="E179" s="148"/>
      <c r="F179" s="148"/>
      <c r="G179" s="148" t="s">
        <v>1607</v>
      </c>
      <c r="H179" s="148"/>
      <c r="I179" s="148"/>
      <c r="J179" s="148"/>
      <c r="K179" s="148"/>
      <c r="L179" s="148"/>
      <c r="M179" s="148"/>
      <c r="N179" s="148"/>
      <c r="O179" s="148"/>
      <c r="P179" s="149">
        <v>44846</v>
      </c>
      <c r="Q179" s="149">
        <v>44886</v>
      </c>
      <c r="R179" s="148"/>
      <c r="S179" s="150">
        <v>87</v>
      </c>
      <c r="T179" s="150">
        <v>87</v>
      </c>
      <c r="U179" s="150">
        <v>29</v>
      </c>
      <c r="V179" s="150">
        <v>29</v>
      </c>
      <c r="W179" s="149"/>
      <c r="X179" s="149"/>
      <c r="Y179" s="151">
        <v>0</v>
      </c>
      <c r="Z179" s="152">
        <v>0</v>
      </c>
      <c r="AA179" s="150"/>
      <c r="AB179" s="148"/>
      <c r="AC179" s="153"/>
      <c r="AD179" s="166">
        <v>1</v>
      </c>
      <c r="AE179" s="211">
        <v>1</v>
      </c>
      <c r="AF179" s="172"/>
      <c r="AG179" s="173"/>
      <c r="AH179" s="173"/>
      <c r="AI179" s="173"/>
      <c r="AJ179" s="173"/>
      <c r="AK179" s="173"/>
      <c r="AL179" s="173"/>
      <c r="AM179" s="173"/>
      <c r="AN179" s="173"/>
      <c r="AO179" s="173"/>
      <c r="AP179" s="173"/>
      <c r="AQ179" s="173" t="str">
        <f>"  " &amp; TEXT(AE179,"#0.00%") &amp; " " &amp; "화면 송수신" &amp; " " &amp; IF(P179="","",TEXT(P179,"M/D-")) &amp; IF(Q179="","",TEXT(Q179,"M/D")) &amp; " "</f>
        <v xml:space="preserve">  100.00% 화면 송수신 10/12-11/21 </v>
      </c>
      <c r="AR179" s="173"/>
      <c r="AS179" s="173"/>
    </row>
    <row r="180" spans="1:45" ht="12" customHeight="1" outlineLevel="3">
      <c r="A180" s="147"/>
      <c r="B180" s="147"/>
      <c r="C180" s="147">
        <v>4</v>
      </c>
      <c r="D180" s="167" t="s">
        <v>1835</v>
      </c>
      <c r="E180" s="148"/>
      <c r="F180" s="148"/>
      <c r="G180" s="148"/>
      <c r="H180" s="148" t="s">
        <v>1608</v>
      </c>
      <c r="I180" s="148"/>
      <c r="J180" s="148"/>
      <c r="K180" s="148"/>
      <c r="L180" s="148"/>
      <c r="M180" s="148"/>
      <c r="N180" s="148"/>
      <c r="O180" s="148"/>
      <c r="P180" s="149">
        <v>44846</v>
      </c>
      <c r="Q180" s="149">
        <v>44886</v>
      </c>
      <c r="R180" s="148"/>
      <c r="S180" s="150">
        <v>29</v>
      </c>
      <c r="T180" s="150">
        <v>29</v>
      </c>
      <c r="U180" s="150">
        <v>29</v>
      </c>
      <c r="V180" s="150">
        <v>29</v>
      </c>
      <c r="W180" s="149"/>
      <c r="X180" s="149"/>
      <c r="Y180" s="151"/>
      <c r="Z180" s="152">
        <v>0</v>
      </c>
      <c r="AA180" s="150"/>
      <c r="AB180" s="148" t="s">
        <v>1572</v>
      </c>
      <c r="AC180" s="153"/>
      <c r="AD180" s="166">
        <v>1</v>
      </c>
      <c r="AE180" s="176">
        <v>1</v>
      </c>
      <c r="AF180" s="172"/>
      <c r="AG180" s="173"/>
      <c r="AH180" s="173"/>
      <c r="AI180" s="173"/>
      <c r="AJ180" s="173"/>
      <c r="AK180" s="173"/>
      <c r="AL180" s="173"/>
      <c r="AM180" s="173"/>
      <c r="AN180" s="173"/>
      <c r="AO180" s="173"/>
      <c r="AP180" s="173"/>
      <c r="AQ180" s="173" t="str">
        <f>"  " &amp; TEXT(AE180,"#0.00%") &amp; " " &amp; "클라이언트 송신" &amp; "(이종수)" &amp; " " &amp; IF(P180="","",TEXT(P180,"M/D-")) &amp; IF(Q180="","",TEXT(Q180,"M/D")) &amp; " "</f>
        <v xml:space="preserve">  100.00% 클라이언트 송신(이종수) 10/12-11/21 </v>
      </c>
      <c r="AR180" s="173"/>
      <c r="AS180" s="173"/>
    </row>
    <row r="181" spans="1:45" ht="12" customHeight="1" outlineLevel="3">
      <c r="A181" s="147"/>
      <c r="B181" s="147"/>
      <c r="C181" s="147">
        <v>4</v>
      </c>
      <c r="D181" s="167" t="s">
        <v>1836</v>
      </c>
      <c r="E181" s="148"/>
      <c r="F181" s="148"/>
      <c r="G181" s="148"/>
      <c r="H181" s="148" t="s">
        <v>1609</v>
      </c>
      <c r="I181" s="148"/>
      <c r="J181" s="148"/>
      <c r="K181" s="148"/>
      <c r="L181" s="148"/>
      <c r="M181" s="148"/>
      <c r="N181" s="148"/>
      <c r="O181" s="148"/>
      <c r="P181" s="149">
        <v>44846</v>
      </c>
      <c r="Q181" s="149">
        <v>44886</v>
      </c>
      <c r="R181" s="148"/>
      <c r="S181" s="150">
        <v>29</v>
      </c>
      <c r="T181" s="150">
        <v>29</v>
      </c>
      <c r="U181" s="150">
        <v>29</v>
      </c>
      <c r="V181" s="150">
        <v>29</v>
      </c>
      <c r="W181" s="149"/>
      <c r="X181" s="149"/>
      <c r="Y181" s="151"/>
      <c r="Z181" s="152">
        <v>0</v>
      </c>
      <c r="AA181" s="150"/>
      <c r="AB181" s="148" t="s">
        <v>1572</v>
      </c>
      <c r="AC181" s="153"/>
      <c r="AD181" s="166">
        <v>1</v>
      </c>
      <c r="AE181" s="176">
        <v>1</v>
      </c>
      <c r="AF181" s="172"/>
      <c r="AG181" s="173"/>
      <c r="AH181" s="173"/>
      <c r="AI181" s="173"/>
      <c r="AJ181" s="173"/>
      <c r="AK181" s="173"/>
      <c r="AL181" s="173"/>
      <c r="AM181" s="173"/>
      <c r="AN181" s="173"/>
      <c r="AO181" s="173"/>
      <c r="AP181" s="173"/>
      <c r="AQ181" s="173" t="str">
        <f>"  " &amp; TEXT(AE181,"#0.00%") &amp; " " &amp; "서버 수신" &amp; "(이종수)" &amp; " " &amp; IF(P181="","",TEXT(P181,"M/D-")) &amp; IF(Q181="","",TEXT(Q181,"M/D")) &amp; " "</f>
        <v xml:space="preserve">  100.00% 서버 수신(이종수) 10/12-11/21 </v>
      </c>
      <c r="AR181" s="173"/>
      <c r="AS181" s="173"/>
    </row>
    <row r="182" spans="1:45" ht="12" customHeight="1" outlineLevel="3">
      <c r="A182" s="147"/>
      <c r="B182" s="147"/>
      <c r="C182" s="147">
        <v>4</v>
      </c>
      <c r="D182" s="167" t="s">
        <v>1837</v>
      </c>
      <c r="E182" s="148"/>
      <c r="F182" s="148"/>
      <c r="G182" s="148"/>
      <c r="H182" s="148" t="s">
        <v>1708</v>
      </c>
      <c r="I182" s="148"/>
      <c r="J182" s="148"/>
      <c r="K182" s="148"/>
      <c r="L182" s="148"/>
      <c r="M182" s="148"/>
      <c r="N182" s="148"/>
      <c r="O182" s="148"/>
      <c r="P182" s="149">
        <v>44846</v>
      </c>
      <c r="Q182" s="149">
        <v>44886</v>
      </c>
      <c r="R182" s="148"/>
      <c r="S182" s="150">
        <v>29</v>
      </c>
      <c r="T182" s="150">
        <v>29</v>
      </c>
      <c r="U182" s="150">
        <v>29</v>
      </c>
      <c r="V182" s="150">
        <v>29</v>
      </c>
      <c r="W182" s="149"/>
      <c r="X182" s="149"/>
      <c r="Y182" s="151"/>
      <c r="Z182" s="152">
        <v>0</v>
      </c>
      <c r="AA182" s="150"/>
      <c r="AB182" s="148" t="s">
        <v>1572</v>
      </c>
      <c r="AC182" s="153"/>
      <c r="AD182" s="166">
        <v>1</v>
      </c>
      <c r="AE182" s="176">
        <v>1</v>
      </c>
      <c r="AF182" s="172"/>
      <c r="AG182" s="173"/>
      <c r="AH182" s="173"/>
      <c r="AI182" s="173"/>
      <c r="AJ182" s="173"/>
      <c r="AK182" s="173"/>
      <c r="AL182" s="173"/>
      <c r="AM182" s="173"/>
      <c r="AN182" s="173"/>
      <c r="AO182" s="173"/>
      <c r="AP182" s="173"/>
      <c r="AQ182" s="173" t="str">
        <f>"  " &amp; TEXT(AE182,"#0.00%") &amp; " " &amp; "교수 화면 캡쳐기능" &amp; "(이종수)" &amp; " " &amp; IF(P182="","",TEXT(P182,"M/D-")) &amp; IF(Q182="","",TEXT(Q182,"M/D")) &amp; " "</f>
        <v xml:space="preserve">  100.00% 교수 화면 캡쳐기능(이종수) 10/12-11/21 </v>
      </c>
      <c r="AR182" s="173"/>
      <c r="AS182" s="173"/>
    </row>
    <row r="183" spans="1:45" ht="12" customHeight="1" outlineLevel="2">
      <c r="A183" s="147"/>
      <c r="B183" s="147" t="s">
        <v>1353</v>
      </c>
      <c r="C183" s="147">
        <v>3</v>
      </c>
      <c r="D183" s="167" t="s">
        <v>1838</v>
      </c>
      <c r="E183" s="148"/>
      <c r="F183" s="148"/>
      <c r="G183" s="148" t="s">
        <v>1709</v>
      </c>
      <c r="H183" s="148"/>
      <c r="I183" s="148"/>
      <c r="J183" s="148"/>
      <c r="K183" s="148"/>
      <c r="L183" s="148"/>
      <c r="M183" s="148"/>
      <c r="N183" s="148"/>
      <c r="O183" s="148"/>
      <c r="P183" s="149">
        <v>44846</v>
      </c>
      <c r="Q183" s="149">
        <v>44886</v>
      </c>
      <c r="R183" s="148"/>
      <c r="S183" s="150">
        <v>87</v>
      </c>
      <c r="T183" s="150">
        <v>87</v>
      </c>
      <c r="U183" s="150">
        <v>29</v>
      </c>
      <c r="V183" s="150">
        <v>29</v>
      </c>
      <c r="W183" s="149"/>
      <c r="X183" s="149"/>
      <c r="Y183" s="151">
        <v>0</v>
      </c>
      <c r="Z183" s="152">
        <v>0</v>
      </c>
      <c r="AA183" s="150"/>
      <c r="AB183" s="148"/>
      <c r="AC183" s="153"/>
      <c r="AD183" s="166">
        <v>1</v>
      </c>
      <c r="AE183" s="211">
        <v>1</v>
      </c>
      <c r="AF183" s="172"/>
      <c r="AG183" s="173"/>
      <c r="AH183" s="173"/>
      <c r="AI183" s="173"/>
      <c r="AJ183" s="173"/>
      <c r="AK183" s="173"/>
      <c r="AL183" s="173"/>
      <c r="AM183" s="173"/>
      <c r="AN183" s="173"/>
      <c r="AO183" s="173"/>
      <c r="AP183" s="173"/>
      <c r="AQ183" s="173" t="str">
        <f>"  " &amp; TEXT(AE183,"#0.00%") &amp; " " &amp; "구글 드라이브" &amp; " " &amp; IF(P183="","",TEXT(P183,"M/D-")) &amp; IF(Q183="","",TEXT(Q183,"M/D")) &amp; " "</f>
        <v xml:space="preserve">  100.00% 구글 드라이브 10/12-11/21 </v>
      </c>
      <c r="AR183" s="173"/>
      <c r="AS183" s="173"/>
    </row>
    <row r="184" spans="1:45" ht="12" customHeight="1" outlineLevel="3">
      <c r="A184" s="147"/>
      <c r="B184" s="147"/>
      <c r="C184" s="147">
        <v>4</v>
      </c>
      <c r="D184" s="167" t="s">
        <v>1839</v>
      </c>
      <c r="E184" s="148"/>
      <c r="F184" s="148"/>
      <c r="G184" s="148"/>
      <c r="H184" s="148" t="s">
        <v>1710</v>
      </c>
      <c r="I184" s="148"/>
      <c r="J184" s="148"/>
      <c r="K184" s="148"/>
      <c r="L184" s="148"/>
      <c r="M184" s="148"/>
      <c r="N184" s="148"/>
      <c r="O184" s="148"/>
      <c r="P184" s="149">
        <v>44846</v>
      </c>
      <c r="Q184" s="149">
        <v>44886</v>
      </c>
      <c r="R184" s="148"/>
      <c r="S184" s="150">
        <v>29</v>
      </c>
      <c r="T184" s="150">
        <v>29</v>
      </c>
      <c r="U184" s="150">
        <v>29</v>
      </c>
      <c r="V184" s="150">
        <v>29</v>
      </c>
      <c r="W184" s="149"/>
      <c r="X184" s="149"/>
      <c r="Y184" s="151"/>
      <c r="Z184" s="152">
        <v>0</v>
      </c>
      <c r="AA184" s="150"/>
      <c r="AB184" s="148" t="s">
        <v>1572</v>
      </c>
      <c r="AC184" s="153"/>
      <c r="AD184" s="166">
        <v>1</v>
      </c>
      <c r="AE184" s="176">
        <v>1</v>
      </c>
      <c r="AF184" s="172"/>
      <c r="AG184" s="173"/>
      <c r="AH184" s="173"/>
      <c r="AI184" s="173"/>
      <c r="AJ184" s="173"/>
      <c r="AK184" s="173"/>
      <c r="AL184" s="173"/>
      <c r="AM184" s="173"/>
      <c r="AN184" s="173"/>
      <c r="AO184" s="173"/>
      <c r="AP184" s="173"/>
      <c r="AQ184" s="173" t="str">
        <f>"  " &amp; TEXT(AE184,"#0.00%") &amp; " " &amp; "로그인" &amp; "(이종수)" &amp; " " &amp; IF(P184="","",TEXT(P184,"M/D-")) &amp; IF(Q184="","",TEXT(Q184,"M/D")) &amp; " "</f>
        <v xml:space="preserve">  100.00% 로그인(이종수) 10/12-11/21 </v>
      </c>
      <c r="AR184" s="173"/>
      <c r="AS184" s="173"/>
    </row>
    <row r="185" spans="1:45" ht="12" customHeight="1" outlineLevel="3">
      <c r="A185" s="147"/>
      <c r="B185" s="147"/>
      <c r="C185" s="147">
        <v>4</v>
      </c>
      <c r="D185" s="167" t="s">
        <v>1840</v>
      </c>
      <c r="E185" s="148"/>
      <c r="F185" s="148"/>
      <c r="G185" s="148"/>
      <c r="H185" s="148" t="s">
        <v>1711</v>
      </c>
      <c r="I185" s="148"/>
      <c r="J185" s="148"/>
      <c r="K185" s="148"/>
      <c r="L185" s="148"/>
      <c r="M185" s="148"/>
      <c r="N185" s="148"/>
      <c r="O185" s="148"/>
      <c r="P185" s="149">
        <v>44846</v>
      </c>
      <c r="Q185" s="149">
        <v>44886</v>
      </c>
      <c r="R185" s="148"/>
      <c r="S185" s="150">
        <v>29</v>
      </c>
      <c r="T185" s="150">
        <v>29</v>
      </c>
      <c r="U185" s="150">
        <v>29</v>
      </c>
      <c r="V185" s="150">
        <v>29</v>
      </c>
      <c r="W185" s="149"/>
      <c r="X185" s="149"/>
      <c r="Y185" s="151"/>
      <c r="Z185" s="152">
        <v>0</v>
      </c>
      <c r="AA185" s="150"/>
      <c r="AB185" s="148" t="s">
        <v>1572</v>
      </c>
      <c r="AC185" s="153"/>
      <c r="AD185" s="166">
        <v>1</v>
      </c>
      <c r="AE185" s="176">
        <v>1</v>
      </c>
      <c r="AF185" s="172"/>
      <c r="AG185" s="173"/>
      <c r="AH185" s="173"/>
      <c r="AI185" s="173"/>
      <c r="AJ185" s="173"/>
      <c r="AK185" s="173"/>
      <c r="AL185" s="173"/>
      <c r="AM185" s="173"/>
      <c r="AN185" s="173"/>
      <c r="AO185" s="173"/>
      <c r="AP185" s="173"/>
      <c r="AQ185" s="173" t="str">
        <f>"  " &amp; TEXT(AE185,"#0.00%") &amp; " " &amp; "드라이브 저장" &amp; "(이종수)" &amp; " " &amp; IF(P185="","",TEXT(P185,"M/D-")) &amp; IF(Q185="","",TEXT(Q185,"M/D")) &amp; " "</f>
        <v xml:space="preserve">  100.00% 드라이브 저장(이종수) 10/12-11/21 </v>
      </c>
      <c r="AR185" s="173"/>
      <c r="AS185" s="173"/>
    </row>
    <row r="186" spans="1:45" ht="12" customHeight="1" outlineLevel="3">
      <c r="A186" s="147"/>
      <c r="B186" s="147"/>
      <c r="C186" s="147">
        <v>4</v>
      </c>
      <c r="D186" s="167" t="s">
        <v>1841</v>
      </c>
      <c r="E186" s="148"/>
      <c r="F186" s="148"/>
      <c r="G186" s="148"/>
      <c r="H186" s="148" t="s">
        <v>1720</v>
      </c>
      <c r="I186" s="148"/>
      <c r="J186" s="148"/>
      <c r="K186" s="148"/>
      <c r="L186" s="148"/>
      <c r="M186" s="148"/>
      <c r="N186" s="148"/>
      <c r="O186" s="148"/>
      <c r="P186" s="149">
        <v>44846</v>
      </c>
      <c r="Q186" s="149">
        <v>44886</v>
      </c>
      <c r="R186" s="148"/>
      <c r="S186" s="150">
        <v>29</v>
      </c>
      <c r="T186" s="150">
        <v>29</v>
      </c>
      <c r="U186" s="150">
        <v>29</v>
      </c>
      <c r="V186" s="150">
        <v>29</v>
      </c>
      <c r="W186" s="149"/>
      <c r="X186" s="149"/>
      <c r="Y186" s="151"/>
      <c r="Z186" s="152">
        <v>0</v>
      </c>
      <c r="AA186" s="150"/>
      <c r="AB186" s="148" t="s">
        <v>1572</v>
      </c>
      <c r="AC186" s="153"/>
      <c r="AD186" s="166">
        <v>1</v>
      </c>
      <c r="AE186" s="176">
        <v>1</v>
      </c>
      <c r="AF186" s="172"/>
      <c r="AG186" s="173"/>
      <c r="AH186" s="173"/>
      <c r="AI186" s="173"/>
      <c r="AJ186" s="173"/>
      <c r="AK186" s="173"/>
      <c r="AL186" s="173"/>
      <c r="AM186" s="173"/>
      <c r="AN186" s="173"/>
      <c r="AO186" s="173"/>
      <c r="AP186" s="173"/>
      <c r="AQ186" s="173" t="str">
        <f>"  " &amp; TEXT(AE186,"#0.00%") &amp; " " &amp; "드라이브 페이지 열기" &amp; "(이종수)" &amp; " " &amp; IF(P186="","",TEXT(P186,"M/D-")) &amp; IF(Q186="","",TEXT(Q186,"M/D")) &amp; " "</f>
        <v xml:space="preserve">  100.00% 드라이브 페이지 열기(이종수) 10/12-11/21 </v>
      </c>
      <c r="AR186" s="173"/>
      <c r="AS186" s="173"/>
    </row>
    <row r="187" spans="1:45" ht="12" customHeight="1" outlineLevel="1">
      <c r="A187" s="147"/>
      <c r="B187" s="147" t="s">
        <v>1353</v>
      </c>
      <c r="C187" s="147">
        <v>2</v>
      </c>
      <c r="D187" s="167" t="s">
        <v>1771</v>
      </c>
      <c r="E187" s="148"/>
      <c r="F187" s="148" t="s">
        <v>1553</v>
      </c>
      <c r="G187" s="148"/>
      <c r="H187" s="148"/>
      <c r="I187" s="148"/>
      <c r="J187" s="148"/>
      <c r="K187" s="148"/>
      <c r="L187" s="148"/>
      <c r="M187" s="148"/>
      <c r="N187" s="148"/>
      <c r="O187" s="148"/>
      <c r="P187" s="149">
        <v>44846</v>
      </c>
      <c r="Q187" s="149">
        <v>44886</v>
      </c>
      <c r="R187" s="148"/>
      <c r="S187" s="150">
        <v>522</v>
      </c>
      <c r="T187" s="150">
        <v>522</v>
      </c>
      <c r="U187" s="150">
        <v>29</v>
      </c>
      <c r="V187" s="150">
        <v>29</v>
      </c>
      <c r="W187" s="149"/>
      <c r="X187" s="149"/>
      <c r="Y187" s="151">
        <v>0</v>
      </c>
      <c r="Z187" s="152">
        <v>0</v>
      </c>
      <c r="AA187" s="150"/>
      <c r="AB187" s="148"/>
      <c r="AC187" s="153"/>
      <c r="AD187" s="166">
        <v>1</v>
      </c>
      <c r="AE187" s="211">
        <v>1</v>
      </c>
      <c r="AF187" s="172"/>
      <c r="AG187" s="173"/>
      <c r="AH187" s="173"/>
      <c r="AI187" s="173"/>
      <c r="AJ187" s="173"/>
      <c r="AK187" s="173"/>
      <c r="AL187" s="173"/>
      <c r="AM187" s="173"/>
      <c r="AN187" s="173"/>
      <c r="AO187" s="173"/>
      <c r="AP187" s="173"/>
      <c r="AQ187" s="173" t="str">
        <f>"  " &amp; TEXT(AE187,"#0.00%") &amp; " " &amp; "서버" &amp; " " &amp; IF(P187="","",TEXT(P187,"M/D-")) &amp; IF(Q187="","",TEXT(Q187,"M/D")) &amp; " "</f>
        <v xml:space="preserve">  100.00% 서버 10/12-11/21 </v>
      </c>
      <c r="AR187" s="173"/>
      <c r="AS187" s="173"/>
    </row>
    <row r="188" spans="1:45" ht="12" customHeight="1" outlineLevel="2">
      <c r="A188" s="147"/>
      <c r="B188" s="147" t="s">
        <v>1353</v>
      </c>
      <c r="C188" s="147">
        <v>3</v>
      </c>
      <c r="D188" s="167" t="s">
        <v>1772</v>
      </c>
      <c r="E188" s="148"/>
      <c r="F188" s="148"/>
      <c r="G188" s="148" t="s">
        <v>1598</v>
      </c>
      <c r="H188" s="148"/>
      <c r="I188" s="148"/>
      <c r="J188" s="148"/>
      <c r="K188" s="148"/>
      <c r="L188" s="148"/>
      <c r="M188" s="148"/>
      <c r="N188" s="148"/>
      <c r="O188" s="148"/>
      <c r="P188" s="149">
        <v>44846</v>
      </c>
      <c r="Q188" s="149">
        <v>44886</v>
      </c>
      <c r="R188" s="148"/>
      <c r="S188" s="150">
        <v>58</v>
      </c>
      <c r="T188" s="150">
        <v>58</v>
      </c>
      <c r="U188" s="150">
        <v>29</v>
      </c>
      <c r="V188" s="150">
        <v>29</v>
      </c>
      <c r="W188" s="149"/>
      <c r="X188" s="149"/>
      <c r="Y188" s="151">
        <v>0</v>
      </c>
      <c r="Z188" s="152">
        <v>0</v>
      </c>
      <c r="AA188" s="150"/>
      <c r="AB188" s="148"/>
      <c r="AC188" s="153"/>
      <c r="AD188" s="166">
        <v>1</v>
      </c>
      <c r="AE188" s="211">
        <v>1</v>
      </c>
      <c r="AF188" s="172"/>
      <c r="AG188" s="173"/>
      <c r="AH188" s="173"/>
      <c r="AI188" s="173"/>
      <c r="AJ188" s="173"/>
      <c r="AK188" s="173"/>
      <c r="AL188" s="173"/>
      <c r="AM188" s="173"/>
      <c r="AN188" s="173"/>
      <c r="AO188" s="173"/>
      <c r="AP188" s="173"/>
      <c r="AQ188" s="173" t="str">
        <f>"  " &amp; TEXT(AE188,"#0.00%") &amp; " " &amp; "채팅" &amp; " " &amp; IF(P188="","",TEXT(P188,"M/D-")) &amp; IF(Q188="","",TEXT(Q188,"M/D")) &amp; " "</f>
        <v xml:space="preserve">  100.00% 채팅 10/12-11/21 </v>
      </c>
      <c r="AR188" s="173"/>
      <c r="AS188" s="173"/>
    </row>
    <row r="189" spans="1:45" ht="12" customHeight="1" outlineLevel="3">
      <c r="A189" s="147"/>
      <c r="B189" s="147"/>
      <c r="C189" s="147">
        <v>4</v>
      </c>
      <c r="D189" s="167" t="s">
        <v>1773</v>
      </c>
      <c r="E189" s="148"/>
      <c r="F189" s="148"/>
      <c r="G189" s="148"/>
      <c r="H189" s="148" t="s">
        <v>1599</v>
      </c>
      <c r="I189" s="148"/>
      <c r="J189" s="148"/>
      <c r="K189" s="148"/>
      <c r="L189" s="148"/>
      <c r="M189" s="148"/>
      <c r="N189" s="148"/>
      <c r="O189" s="148"/>
      <c r="P189" s="149">
        <v>44846</v>
      </c>
      <c r="Q189" s="149">
        <v>44886</v>
      </c>
      <c r="R189" s="148"/>
      <c r="S189" s="150">
        <v>29</v>
      </c>
      <c r="T189" s="150">
        <v>29</v>
      </c>
      <c r="U189" s="150">
        <v>29</v>
      </c>
      <c r="V189" s="150">
        <v>29</v>
      </c>
      <c r="W189" s="149"/>
      <c r="X189" s="149"/>
      <c r="Y189" s="151"/>
      <c r="Z189" s="152">
        <v>0</v>
      </c>
      <c r="AA189" s="150"/>
      <c r="AB189" s="148" t="s">
        <v>1570</v>
      </c>
      <c r="AC189" s="153"/>
      <c r="AD189" s="166">
        <v>1</v>
      </c>
      <c r="AE189" s="176">
        <v>1</v>
      </c>
      <c r="AF189" s="172"/>
      <c r="AG189" s="173"/>
      <c r="AH189" s="173"/>
      <c r="AI189" s="173"/>
      <c r="AJ189" s="173"/>
      <c r="AK189" s="173"/>
      <c r="AL189" s="173"/>
      <c r="AM189" s="173"/>
      <c r="AN189" s="173"/>
      <c r="AO189" s="173"/>
      <c r="AP189" s="173"/>
      <c r="AQ189" s="173" t="str">
        <f>"  " &amp; TEXT(AE189,"#0.00%") &amp; " " &amp; "전체" &amp; "(장진)" &amp; " " &amp; IF(P189="","",TEXT(P189,"M/D-")) &amp; IF(Q189="","",TEXT(Q189,"M/D")) &amp; " "</f>
        <v xml:space="preserve">  100.00% 전체(장진) 10/12-11/21 </v>
      </c>
      <c r="AR189" s="173"/>
      <c r="AS189" s="173"/>
    </row>
    <row r="190" spans="1:45" ht="12" customHeight="1" outlineLevel="3">
      <c r="A190" s="147"/>
      <c r="B190" s="147"/>
      <c r="C190" s="147">
        <v>4</v>
      </c>
      <c r="D190" s="167" t="s">
        <v>1774</v>
      </c>
      <c r="E190" s="148"/>
      <c r="F190" s="148"/>
      <c r="G190" s="148"/>
      <c r="H190" s="148" t="s">
        <v>1600</v>
      </c>
      <c r="I190" s="148"/>
      <c r="J190" s="148"/>
      <c r="K190" s="148"/>
      <c r="L190" s="148"/>
      <c r="M190" s="148"/>
      <c r="N190" s="148"/>
      <c r="O190" s="148"/>
      <c r="P190" s="149">
        <v>44846</v>
      </c>
      <c r="Q190" s="149">
        <v>44886</v>
      </c>
      <c r="R190" s="148"/>
      <c r="S190" s="150">
        <v>29</v>
      </c>
      <c r="T190" s="150">
        <v>29</v>
      </c>
      <c r="U190" s="150">
        <v>29</v>
      </c>
      <c r="V190" s="150">
        <v>29</v>
      </c>
      <c r="W190" s="149"/>
      <c r="X190" s="149"/>
      <c r="Y190" s="151"/>
      <c r="Z190" s="152">
        <v>0</v>
      </c>
      <c r="AA190" s="150"/>
      <c r="AB190" s="148" t="s">
        <v>1570</v>
      </c>
      <c r="AC190" s="153"/>
      <c r="AD190" s="166">
        <v>1</v>
      </c>
      <c r="AE190" s="176">
        <v>1</v>
      </c>
      <c r="AF190" s="172"/>
      <c r="AG190" s="173"/>
      <c r="AH190" s="173"/>
      <c r="AI190" s="173"/>
      <c r="AJ190" s="173"/>
      <c r="AK190" s="173"/>
      <c r="AL190" s="173"/>
      <c r="AM190" s="173"/>
      <c r="AN190" s="173"/>
      <c r="AO190" s="173"/>
      <c r="AP190" s="173"/>
      <c r="AQ190" s="173" t="str">
        <f>"  " &amp; TEXT(AE190,"#0.00%") &amp; " " &amp; "귓속말" &amp; "(장진)" &amp; " " &amp; IF(P190="","",TEXT(P190,"M/D-")) &amp; IF(Q190="","",TEXT(Q190,"M/D")) &amp; " "</f>
        <v xml:space="preserve">  100.00% 귓속말(장진) 10/12-11/21 </v>
      </c>
      <c r="AR190" s="173"/>
      <c r="AS190" s="173"/>
    </row>
    <row r="191" spans="1:45" ht="12" customHeight="1" outlineLevel="2">
      <c r="A191" s="147"/>
      <c r="B191" s="147" t="s">
        <v>1353</v>
      </c>
      <c r="C191" s="147">
        <v>3</v>
      </c>
      <c r="D191" s="167" t="s">
        <v>1775</v>
      </c>
      <c r="E191" s="148"/>
      <c r="F191" s="148"/>
      <c r="G191" s="148" t="s">
        <v>1601</v>
      </c>
      <c r="H191" s="148"/>
      <c r="I191" s="148"/>
      <c r="J191" s="148"/>
      <c r="K191" s="148"/>
      <c r="L191" s="148"/>
      <c r="M191" s="148"/>
      <c r="N191" s="148"/>
      <c r="O191" s="148"/>
      <c r="P191" s="149">
        <v>44846</v>
      </c>
      <c r="Q191" s="149">
        <v>44886</v>
      </c>
      <c r="R191" s="148"/>
      <c r="S191" s="150">
        <v>232</v>
      </c>
      <c r="T191" s="150">
        <v>232</v>
      </c>
      <c r="U191" s="150">
        <v>29</v>
      </c>
      <c r="V191" s="150">
        <v>29</v>
      </c>
      <c r="W191" s="149"/>
      <c r="X191" s="149"/>
      <c r="Y191" s="151">
        <v>0</v>
      </c>
      <c r="Z191" s="152">
        <v>0</v>
      </c>
      <c r="AA191" s="150"/>
      <c r="AB191" s="148"/>
      <c r="AC191" s="153"/>
      <c r="AD191" s="166">
        <v>1</v>
      </c>
      <c r="AE191" s="211">
        <v>1</v>
      </c>
      <c r="AF191" s="172"/>
      <c r="AG191" s="173"/>
      <c r="AH191" s="173"/>
      <c r="AI191" s="173"/>
      <c r="AJ191" s="173"/>
      <c r="AK191" s="173"/>
      <c r="AL191" s="173"/>
      <c r="AM191" s="173"/>
      <c r="AN191" s="173"/>
      <c r="AO191" s="173"/>
      <c r="AP191" s="173"/>
      <c r="AQ191" s="173" t="str">
        <f>"  " &amp; TEXT(AE191,"#0.00%") &amp; " " &amp; "질문" &amp; " " &amp; IF(P191="","",TEXT(P191,"M/D-")) &amp; IF(Q191="","",TEXT(Q191,"M/D")) &amp; " "</f>
        <v xml:space="preserve">  100.00% 질문 10/12-11/21 </v>
      </c>
      <c r="AR191" s="173"/>
      <c r="AS191" s="173"/>
    </row>
    <row r="192" spans="1:45" ht="12" customHeight="1" outlineLevel="3">
      <c r="A192" s="147"/>
      <c r="B192" s="147" t="s">
        <v>1353</v>
      </c>
      <c r="C192" s="147">
        <v>4</v>
      </c>
      <c r="D192" s="167" t="s">
        <v>1776</v>
      </c>
      <c r="E192" s="148"/>
      <c r="F192" s="148"/>
      <c r="G192" s="148"/>
      <c r="H192" s="148" t="s">
        <v>1789</v>
      </c>
      <c r="I192" s="148"/>
      <c r="J192" s="148"/>
      <c r="K192" s="148"/>
      <c r="L192" s="148"/>
      <c r="M192" s="148"/>
      <c r="N192" s="148"/>
      <c r="O192" s="148"/>
      <c r="P192" s="149">
        <v>44846</v>
      </c>
      <c r="Q192" s="149">
        <v>44886</v>
      </c>
      <c r="R192" s="148"/>
      <c r="S192" s="150">
        <v>87</v>
      </c>
      <c r="T192" s="150">
        <v>87</v>
      </c>
      <c r="U192" s="150">
        <v>29</v>
      </c>
      <c r="V192" s="150">
        <v>29</v>
      </c>
      <c r="W192" s="149"/>
      <c r="X192" s="149"/>
      <c r="Y192" s="151">
        <v>0</v>
      </c>
      <c r="Z192" s="152">
        <v>0</v>
      </c>
      <c r="AA192" s="150"/>
      <c r="AB192" s="148"/>
      <c r="AC192" s="153"/>
      <c r="AD192" s="166">
        <v>1</v>
      </c>
      <c r="AE192" s="211">
        <v>1</v>
      </c>
      <c r="AF192" s="172"/>
      <c r="AG192" s="173"/>
      <c r="AH192" s="173"/>
      <c r="AI192" s="173"/>
      <c r="AJ192" s="173"/>
      <c r="AK192" s="173"/>
      <c r="AL192" s="173"/>
      <c r="AM192" s="173"/>
      <c r="AN192" s="173"/>
      <c r="AO192" s="173"/>
      <c r="AP192" s="173"/>
      <c r="AQ192" s="173" t="str">
        <f>"  " &amp; TEXT(AE192,"#0.00%") &amp; " " &amp; "기본형" &amp; " " &amp; IF(P192="","",TEXT(P192,"M/D-")) &amp; IF(Q192="","",TEXT(Q192,"M/D")) &amp; " "</f>
        <v xml:space="preserve">  100.00% 기본형 10/12-11/21 </v>
      </c>
      <c r="AR192" s="173"/>
      <c r="AS192" s="173"/>
    </row>
    <row r="193" spans="1:45" ht="12" customHeight="1" outlineLevel="4">
      <c r="A193" s="147"/>
      <c r="B193" s="147"/>
      <c r="C193" s="147">
        <v>5</v>
      </c>
      <c r="D193" s="167" t="s">
        <v>1808</v>
      </c>
      <c r="E193" s="148"/>
      <c r="F193" s="148"/>
      <c r="G193" s="148"/>
      <c r="H193" s="148"/>
      <c r="I193" s="148" t="s">
        <v>1758</v>
      </c>
      <c r="J193" s="148"/>
      <c r="K193" s="148"/>
      <c r="L193" s="148"/>
      <c r="M193" s="148"/>
      <c r="N193" s="148"/>
      <c r="O193" s="148"/>
      <c r="P193" s="149">
        <v>44846</v>
      </c>
      <c r="Q193" s="149">
        <v>44886</v>
      </c>
      <c r="R193" s="148"/>
      <c r="S193" s="150">
        <v>29</v>
      </c>
      <c r="T193" s="150">
        <v>29</v>
      </c>
      <c r="U193" s="150">
        <v>29</v>
      </c>
      <c r="V193" s="150">
        <v>29</v>
      </c>
      <c r="W193" s="149"/>
      <c r="X193" s="149"/>
      <c r="Y193" s="151"/>
      <c r="Z193" s="152">
        <v>0</v>
      </c>
      <c r="AA193" s="150"/>
      <c r="AB193" s="148" t="s">
        <v>1570</v>
      </c>
      <c r="AC193" s="153"/>
      <c r="AD193" s="166">
        <v>1</v>
      </c>
      <c r="AE193" s="176">
        <v>1</v>
      </c>
      <c r="AF193" s="172"/>
      <c r="AG193" s="173"/>
      <c r="AH193" s="173"/>
      <c r="AI193" s="173"/>
      <c r="AJ193" s="173"/>
      <c r="AK193" s="173"/>
      <c r="AL193" s="173"/>
      <c r="AM193" s="173"/>
      <c r="AN193" s="173"/>
      <c r="AO193" s="173"/>
      <c r="AP193" s="173"/>
      <c r="AQ193" s="173" t="str">
        <f>"  " &amp; TEXT(AE193,"#0.00%") &amp; " " &amp; "O/X" &amp; "(장진)" &amp; " " &amp; IF(P193="","",TEXT(P193,"M/D-")) &amp; IF(Q193="","",TEXT(Q193,"M/D")) &amp; " "</f>
        <v xml:space="preserve">  100.00% O/X(장진) 10/12-11/21 </v>
      </c>
      <c r="AR193" s="173"/>
      <c r="AS193" s="173"/>
    </row>
    <row r="194" spans="1:45" ht="12" customHeight="1" outlineLevel="4">
      <c r="A194" s="147"/>
      <c r="B194" s="147"/>
      <c r="C194" s="147">
        <v>5</v>
      </c>
      <c r="D194" s="167" t="s">
        <v>1809</v>
      </c>
      <c r="E194" s="148"/>
      <c r="F194" s="148"/>
      <c r="G194" s="148"/>
      <c r="H194" s="148"/>
      <c r="I194" s="148" t="s">
        <v>1602</v>
      </c>
      <c r="J194" s="148"/>
      <c r="K194" s="148"/>
      <c r="L194" s="148"/>
      <c r="M194" s="148"/>
      <c r="N194" s="148"/>
      <c r="O194" s="148"/>
      <c r="P194" s="149">
        <v>44846</v>
      </c>
      <c r="Q194" s="149">
        <v>44886</v>
      </c>
      <c r="R194" s="148"/>
      <c r="S194" s="150">
        <v>29</v>
      </c>
      <c r="T194" s="150">
        <v>29</v>
      </c>
      <c r="U194" s="150">
        <v>29</v>
      </c>
      <c r="V194" s="150">
        <v>29</v>
      </c>
      <c r="W194" s="149"/>
      <c r="X194" s="149"/>
      <c r="Y194" s="151"/>
      <c r="Z194" s="152">
        <v>0</v>
      </c>
      <c r="AA194" s="150"/>
      <c r="AB194" s="148" t="s">
        <v>1570</v>
      </c>
      <c r="AC194" s="153"/>
      <c r="AD194" s="166">
        <v>1</v>
      </c>
      <c r="AE194" s="176">
        <v>1</v>
      </c>
      <c r="AF194" s="172"/>
      <c r="AG194" s="173"/>
      <c r="AH194" s="173"/>
      <c r="AI194" s="173"/>
      <c r="AJ194" s="173"/>
      <c r="AK194" s="173"/>
      <c r="AL194" s="173"/>
      <c r="AM194" s="173"/>
      <c r="AN194" s="173"/>
      <c r="AO194" s="173"/>
      <c r="AP194" s="173"/>
      <c r="AQ194" s="173" t="str">
        <f>"  " &amp; TEXT(AE194,"#0.00%") &amp; " " &amp; "객관식" &amp; "(장진)" &amp; " " &amp; IF(P194="","",TEXT(P194,"M/D-")) &amp; IF(Q194="","",TEXT(Q194,"M/D")) &amp; " "</f>
        <v xml:space="preserve">  100.00% 객관식(장진) 10/12-11/21 </v>
      </c>
      <c r="AR194" s="173"/>
      <c r="AS194" s="173"/>
    </row>
    <row r="195" spans="1:45" ht="12" customHeight="1" outlineLevel="4">
      <c r="A195" s="147"/>
      <c r="B195" s="147"/>
      <c r="C195" s="147">
        <v>5</v>
      </c>
      <c r="D195" s="167" t="s">
        <v>1810</v>
      </c>
      <c r="E195" s="148"/>
      <c r="F195" s="148"/>
      <c r="G195" s="148"/>
      <c r="H195" s="148"/>
      <c r="I195" s="148" t="s">
        <v>1717</v>
      </c>
      <c r="J195" s="148"/>
      <c r="K195" s="148"/>
      <c r="L195" s="148"/>
      <c r="M195" s="148"/>
      <c r="N195" s="148"/>
      <c r="O195" s="148"/>
      <c r="P195" s="149">
        <v>44846</v>
      </c>
      <c r="Q195" s="149">
        <v>44886</v>
      </c>
      <c r="R195" s="148"/>
      <c r="S195" s="150">
        <v>29</v>
      </c>
      <c r="T195" s="150">
        <v>29</v>
      </c>
      <c r="U195" s="150">
        <v>29</v>
      </c>
      <c r="V195" s="150">
        <v>29</v>
      </c>
      <c r="W195" s="149"/>
      <c r="X195" s="149"/>
      <c r="Y195" s="151"/>
      <c r="Z195" s="152">
        <v>0</v>
      </c>
      <c r="AA195" s="150"/>
      <c r="AB195" s="148" t="s">
        <v>1570</v>
      </c>
      <c r="AC195" s="153"/>
      <c r="AD195" s="166">
        <v>1</v>
      </c>
      <c r="AE195" s="176">
        <v>1</v>
      </c>
      <c r="AF195" s="172"/>
      <c r="AG195" s="173"/>
      <c r="AH195" s="173"/>
      <c r="AI195" s="173"/>
      <c r="AJ195" s="173"/>
      <c r="AK195" s="173"/>
      <c r="AL195" s="173"/>
      <c r="AM195" s="173"/>
      <c r="AN195" s="173"/>
      <c r="AO195" s="173"/>
      <c r="AP195" s="173"/>
      <c r="AQ195" s="173" t="str">
        <f>"  " &amp; TEXT(AE195,"#0.00%") &amp; " " &amp; "주관식" &amp; "(장진)" &amp; " " &amp; IF(P195="","",TEXT(P195,"M/D-")) &amp; IF(Q195="","",TEXT(Q195,"M/D")) &amp; " "</f>
        <v xml:space="preserve">  100.00% 주관식(장진) 10/12-11/21 </v>
      </c>
      <c r="AR195" s="173"/>
      <c r="AS195" s="173"/>
    </row>
    <row r="196" spans="1:45" ht="12" customHeight="1" outlineLevel="3">
      <c r="A196" s="147"/>
      <c r="B196" s="147" t="s">
        <v>1353</v>
      </c>
      <c r="C196" s="147">
        <v>4</v>
      </c>
      <c r="D196" s="167" t="s">
        <v>1777</v>
      </c>
      <c r="E196" s="148"/>
      <c r="F196" s="148"/>
      <c r="G196" s="148"/>
      <c r="H196" s="148" t="s">
        <v>1716</v>
      </c>
      <c r="I196" s="148"/>
      <c r="J196" s="148"/>
      <c r="K196" s="148"/>
      <c r="L196" s="148"/>
      <c r="M196" s="148"/>
      <c r="N196" s="148"/>
      <c r="O196" s="148"/>
      <c r="P196" s="149">
        <v>44846</v>
      </c>
      <c r="Q196" s="149">
        <v>44886</v>
      </c>
      <c r="R196" s="148"/>
      <c r="S196" s="150">
        <v>87</v>
      </c>
      <c r="T196" s="150">
        <v>87</v>
      </c>
      <c r="U196" s="150">
        <v>29</v>
      </c>
      <c r="V196" s="150">
        <v>29</v>
      </c>
      <c r="W196" s="149"/>
      <c r="X196" s="149"/>
      <c r="Y196" s="151">
        <v>0</v>
      </c>
      <c r="Z196" s="152">
        <v>0</v>
      </c>
      <c r="AA196" s="150"/>
      <c r="AB196" s="148"/>
      <c r="AC196" s="153"/>
      <c r="AD196" s="166">
        <v>1</v>
      </c>
      <c r="AE196" s="211">
        <v>1</v>
      </c>
      <c r="AF196" s="172"/>
      <c r="AG196" s="173"/>
      <c r="AH196" s="173"/>
      <c r="AI196" s="173"/>
      <c r="AJ196" s="173"/>
      <c r="AK196" s="173"/>
      <c r="AL196" s="173"/>
      <c r="AM196" s="173"/>
      <c r="AN196" s="173"/>
      <c r="AO196" s="173"/>
      <c r="AP196" s="173"/>
      <c r="AQ196" s="173" t="str">
        <f>"  " &amp; TEXT(AE196,"#0.00%") &amp; " " &amp; "스피드 게임형" &amp; " " &amp; IF(P196="","",TEXT(P196,"M/D-")) &amp; IF(Q196="","",TEXT(Q196,"M/D")) &amp; " "</f>
        <v xml:space="preserve">  100.00% 스피드 게임형 10/12-11/21 </v>
      </c>
      <c r="AR196" s="173"/>
      <c r="AS196" s="173"/>
    </row>
    <row r="197" spans="1:45" ht="12" customHeight="1" outlineLevel="4">
      <c r="A197" s="147"/>
      <c r="B197" s="147"/>
      <c r="C197" s="147">
        <v>5</v>
      </c>
      <c r="D197" s="167" t="s">
        <v>1811</v>
      </c>
      <c r="E197" s="148"/>
      <c r="F197" s="148"/>
      <c r="G197" s="148"/>
      <c r="H197" s="148"/>
      <c r="I197" s="148" t="s">
        <v>1758</v>
      </c>
      <c r="J197" s="148"/>
      <c r="K197" s="148"/>
      <c r="L197" s="148"/>
      <c r="M197" s="148"/>
      <c r="N197" s="148"/>
      <c r="O197" s="148"/>
      <c r="P197" s="149">
        <v>44846</v>
      </c>
      <c r="Q197" s="149">
        <v>44886</v>
      </c>
      <c r="R197" s="148"/>
      <c r="S197" s="150">
        <v>29</v>
      </c>
      <c r="T197" s="150">
        <v>29</v>
      </c>
      <c r="U197" s="150">
        <v>29</v>
      </c>
      <c r="V197" s="150">
        <v>29</v>
      </c>
      <c r="W197" s="149"/>
      <c r="X197" s="149"/>
      <c r="Y197" s="151"/>
      <c r="Z197" s="152">
        <v>0</v>
      </c>
      <c r="AA197" s="150"/>
      <c r="AB197" s="148" t="s">
        <v>1570</v>
      </c>
      <c r="AC197" s="153"/>
      <c r="AD197" s="166">
        <v>1</v>
      </c>
      <c r="AE197" s="176">
        <v>1</v>
      </c>
      <c r="AF197" s="172"/>
      <c r="AG197" s="173"/>
      <c r="AH197" s="173"/>
      <c r="AI197" s="173"/>
      <c r="AJ197" s="173"/>
      <c r="AK197" s="173"/>
      <c r="AL197" s="173"/>
      <c r="AM197" s="173"/>
      <c r="AN197" s="173"/>
      <c r="AO197" s="173"/>
      <c r="AP197" s="173"/>
      <c r="AQ197" s="173" t="str">
        <f>"  " &amp; TEXT(AE197,"#0.00%") &amp; " " &amp; "O/X" &amp; "(장진)" &amp; " " &amp; IF(P197="","",TEXT(P197,"M/D-")) &amp; IF(Q197="","",TEXT(Q197,"M/D")) &amp; " "</f>
        <v xml:space="preserve">  100.00% O/X(장진) 10/12-11/21 </v>
      </c>
      <c r="AR197" s="173"/>
      <c r="AS197" s="173"/>
    </row>
    <row r="198" spans="1:45" ht="12" customHeight="1" outlineLevel="4">
      <c r="A198" s="147"/>
      <c r="B198" s="147"/>
      <c r="C198" s="147">
        <v>5</v>
      </c>
      <c r="D198" s="167" t="s">
        <v>1812</v>
      </c>
      <c r="E198" s="148"/>
      <c r="F198" s="148"/>
      <c r="G198" s="148"/>
      <c r="H198" s="148"/>
      <c r="I198" s="148" t="s">
        <v>1602</v>
      </c>
      <c r="J198" s="148"/>
      <c r="K198" s="148"/>
      <c r="L198" s="148"/>
      <c r="M198" s="148"/>
      <c r="N198" s="148"/>
      <c r="O198" s="148"/>
      <c r="P198" s="149">
        <v>44846</v>
      </c>
      <c r="Q198" s="149">
        <v>44886</v>
      </c>
      <c r="R198" s="148"/>
      <c r="S198" s="150">
        <v>29</v>
      </c>
      <c r="T198" s="150">
        <v>29</v>
      </c>
      <c r="U198" s="150">
        <v>29</v>
      </c>
      <c r="V198" s="150">
        <v>29</v>
      </c>
      <c r="W198" s="149"/>
      <c r="X198" s="149"/>
      <c r="Y198" s="151"/>
      <c r="Z198" s="152">
        <v>0</v>
      </c>
      <c r="AA198" s="150"/>
      <c r="AB198" s="148" t="s">
        <v>1570</v>
      </c>
      <c r="AC198" s="153"/>
      <c r="AD198" s="166">
        <v>1</v>
      </c>
      <c r="AE198" s="176">
        <v>1</v>
      </c>
      <c r="AF198" s="172"/>
      <c r="AG198" s="173"/>
      <c r="AH198" s="173"/>
      <c r="AI198" s="173"/>
      <c r="AJ198" s="173"/>
      <c r="AK198" s="173"/>
      <c r="AL198" s="173"/>
      <c r="AM198" s="173"/>
      <c r="AN198" s="173"/>
      <c r="AO198" s="173"/>
      <c r="AP198" s="173"/>
      <c r="AQ198" s="173" t="str">
        <f>"  " &amp; TEXT(AE198,"#0.00%") &amp; " " &amp; "객관식" &amp; "(장진)" &amp; " " &amp; IF(P198="","",TEXT(P198,"M/D-")) &amp; IF(Q198="","",TEXT(Q198,"M/D")) &amp; " "</f>
        <v xml:space="preserve">  100.00% 객관식(장진) 10/12-11/21 </v>
      </c>
      <c r="AR198" s="173"/>
      <c r="AS198" s="173"/>
    </row>
    <row r="199" spans="1:45" ht="12" customHeight="1" outlineLevel="4">
      <c r="A199" s="147"/>
      <c r="B199" s="147"/>
      <c r="C199" s="147">
        <v>5</v>
      </c>
      <c r="D199" s="167" t="s">
        <v>1813</v>
      </c>
      <c r="E199" s="148"/>
      <c r="F199" s="148"/>
      <c r="G199" s="148"/>
      <c r="H199" s="148"/>
      <c r="I199" s="148" t="s">
        <v>1717</v>
      </c>
      <c r="J199" s="148"/>
      <c r="K199" s="148"/>
      <c r="L199" s="148"/>
      <c r="M199" s="148"/>
      <c r="N199" s="148"/>
      <c r="O199" s="148"/>
      <c r="P199" s="149">
        <v>44846</v>
      </c>
      <c r="Q199" s="149">
        <v>44886</v>
      </c>
      <c r="R199" s="148"/>
      <c r="S199" s="150">
        <v>29</v>
      </c>
      <c r="T199" s="150">
        <v>29</v>
      </c>
      <c r="U199" s="150">
        <v>29</v>
      </c>
      <c r="V199" s="150">
        <v>29</v>
      </c>
      <c r="W199" s="149"/>
      <c r="X199" s="149"/>
      <c r="Y199" s="151"/>
      <c r="Z199" s="152">
        <v>0</v>
      </c>
      <c r="AA199" s="150"/>
      <c r="AB199" s="148" t="s">
        <v>1570</v>
      </c>
      <c r="AC199" s="153"/>
      <c r="AD199" s="166">
        <v>1</v>
      </c>
      <c r="AE199" s="176">
        <v>1</v>
      </c>
      <c r="AF199" s="172"/>
      <c r="AG199" s="173"/>
      <c r="AH199" s="173"/>
      <c r="AI199" s="173"/>
      <c r="AJ199" s="173"/>
      <c r="AK199" s="173"/>
      <c r="AL199" s="173"/>
      <c r="AM199" s="173"/>
      <c r="AN199" s="173"/>
      <c r="AO199" s="173"/>
      <c r="AP199" s="173"/>
      <c r="AQ199" s="173" t="str">
        <f>"  " &amp; TEXT(AE199,"#0.00%") &amp; " " &amp; "주관식" &amp; "(장진)" &amp; " " &amp; IF(P199="","",TEXT(P199,"M/D-")) &amp; IF(Q199="","",TEXT(Q199,"M/D")) &amp; " "</f>
        <v xml:space="preserve">  100.00% 주관식(장진) 10/12-11/21 </v>
      </c>
      <c r="AR199" s="173"/>
      <c r="AS199" s="173"/>
    </row>
    <row r="200" spans="1:45" ht="12" customHeight="1" outlineLevel="3">
      <c r="A200" s="147"/>
      <c r="B200" s="147" t="s">
        <v>1353</v>
      </c>
      <c r="C200" s="147">
        <v>4</v>
      </c>
      <c r="D200" s="167" t="s">
        <v>1778</v>
      </c>
      <c r="E200" s="148"/>
      <c r="F200" s="148"/>
      <c r="G200" s="148"/>
      <c r="H200" s="148" t="s">
        <v>1715</v>
      </c>
      <c r="I200" s="148"/>
      <c r="J200" s="148"/>
      <c r="K200" s="148"/>
      <c r="L200" s="148"/>
      <c r="M200" s="148"/>
      <c r="N200" s="148"/>
      <c r="O200" s="148"/>
      <c r="P200" s="149">
        <v>44846</v>
      </c>
      <c r="Q200" s="149">
        <v>44886</v>
      </c>
      <c r="R200" s="148"/>
      <c r="S200" s="150">
        <v>58</v>
      </c>
      <c r="T200" s="150">
        <v>58</v>
      </c>
      <c r="U200" s="150">
        <v>29</v>
      </c>
      <c r="V200" s="150">
        <v>29</v>
      </c>
      <c r="W200" s="149"/>
      <c r="X200" s="149"/>
      <c r="Y200" s="151">
        <v>0</v>
      </c>
      <c r="Z200" s="152">
        <v>0</v>
      </c>
      <c r="AA200" s="150"/>
      <c r="AB200" s="148"/>
      <c r="AC200" s="153"/>
      <c r="AD200" s="166">
        <v>1</v>
      </c>
      <c r="AE200" s="211">
        <v>1</v>
      </c>
      <c r="AF200" s="172"/>
      <c r="AG200" s="173"/>
      <c r="AH200" s="173"/>
      <c r="AI200" s="173"/>
      <c r="AJ200" s="173"/>
      <c r="AK200" s="173"/>
      <c r="AL200" s="173"/>
      <c r="AM200" s="173"/>
      <c r="AN200" s="173"/>
      <c r="AO200" s="173"/>
      <c r="AP200" s="173"/>
      <c r="AQ200" s="173" t="str">
        <f>"  " &amp; TEXT(AE200,"#0.00%") &amp; " " &amp; "캐릭터 게임형" &amp; " " &amp; IF(P200="","",TEXT(P200,"M/D-")) &amp; IF(Q200="","",TEXT(Q200,"M/D")) &amp; " "</f>
        <v xml:space="preserve">  100.00% 캐릭터 게임형 10/12-11/21 </v>
      </c>
      <c r="AR200" s="173"/>
      <c r="AS200" s="173"/>
    </row>
    <row r="201" spans="1:45" ht="12" customHeight="1" outlineLevel="4">
      <c r="A201" s="147"/>
      <c r="B201" s="147"/>
      <c r="C201" s="147">
        <v>5</v>
      </c>
      <c r="D201" s="167" t="s">
        <v>1814</v>
      </c>
      <c r="E201" s="148"/>
      <c r="F201" s="148"/>
      <c r="G201" s="148"/>
      <c r="H201" s="148"/>
      <c r="I201" s="148" t="s">
        <v>1758</v>
      </c>
      <c r="J201" s="148"/>
      <c r="K201" s="148"/>
      <c r="L201" s="148"/>
      <c r="M201" s="148"/>
      <c r="N201" s="148"/>
      <c r="O201" s="148"/>
      <c r="P201" s="149">
        <v>44846</v>
      </c>
      <c r="Q201" s="149">
        <v>44886</v>
      </c>
      <c r="R201" s="148"/>
      <c r="S201" s="150">
        <v>29</v>
      </c>
      <c r="T201" s="150">
        <v>29</v>
      </c>
      <c r="U201" s="150">
        <v>29</v>
      </c>
      <c r="V201" s="150">
        <v>29</v>
      </c>
      <c r="W201" s="149"/>
      <c r="X201" s="149"/>
      <c r="Y201" s="151"/>
      <c r="Z201" s="152">
        <v>0</v>
      </c>
      <c r="AA201" s="150"/>
      <c r="AB201" s="148" t="s">
        <v>1570</v>
      </c>
      <c r="AC201" s="153"/>
      <c r="AD201" s="166">
        <v>1</v>
      </c>
      <c r="AE201" s="176">
        <v>1</v>
      </c>
      <c r="AF201" s="172"/>
      <c r="AG201" s="173"/>
      <c r="AH201" s="173"/>
      <c r="AI201" s="173"/>
      <c r="AJ201" s="173"/>
      <c r="AK201" s="173"/>
      <c r="AL201" s="173"/>
      <c r="AM201" s="173"/>
      <c r="AN201" s="173"/>
      <c r="AO201" s="173"/>
      <c r="AP201" s="173"/>
      <c r="AQ201" s="173" t="str">
        <f>"  " &amp; TEXT(AE201,"#0.00%") &amp; " " &amp; "O/X" &amp; "(장진)" &amp; " " &amp; IF(P201="","",TEXT(P201,"M/D-")) &amp; IF(Q201="","",TEXT(Q201,"M/D")) &amp; " "</f>
        <v xml:space="preserve">  100.00% O/X(장진) 10/12-11/21 </v>
      </c>
      <c r="AR201" s="173"/>
      <c r="AS201" s="173"/>
    </row>
    <row r="202" spans="1:45" ht="12" customHeight="1" outlineLevel="4">
      <c r="A202" s="147"/>
      <c r="B202" s="147"/>
      <c r="C202" s="147">
        <v>5</v>
      </c>
      <c r="D202" s="167" t="s">
        <v>1815</v>
      </c>
      <c r="E202" s="148"/>
      <c r="F202" s="148"/>
      <c r="G202" s="148"/>
      <c r="H202" s="148"/>
      <c r="I202" s="148" t="s">
        <v>1602</v>
      </c>
      <c r="J202" s="148"/>
      <c r="K202" s="148"/>
      <c r="L202" s="148"/>
      <c r="M202" s="148"/>
      <c r="N202" s="148"/>
      <c r="O202" s="148"/>
      <c r="P202" s="149">
        <v>44846</v>
      </c>
      <c r="Q202" s="149">
        <v>44886</v>
      </c>
      <c r="R202" s="148"/>
      <c r="S202" s="150">
        <v>29</v>
      </c>
      <c r="T202" s="150">
        <v>29</v>
      </c>
      <c r="U202" s="150">
        <v>29</v>
      </c>
      <c r="V202" s="150">
        <v>29</v>
      </c>
      <c r="W202" s="149"/>
      <c r="X202" s="149"/>
      <c r="Y202" s="151"/>
      <c r="Z202" s="152">
        <v>0</v>
      </c>
      <c r="AA202" s="150"/>
      <c r="AB202" s="148" t="s">
        <v>1570</v>
      </c>
      <c r="AC202" s="153"/>
      <c r="AD202" s="166">
        <v>1</v>
      </c>
      <c r="AE202" s="176">
        <v>1</v>
      </c>
      <c r="AF202" s="172"/>
      <c r="AG202" s="173"/>
      <c r="AH202" s="173"/>
      <c r="AI202" s="173"/>
      <c r="AJ202" s="173"/>
      <c r="AK202" s="173"/>
      <c r="AL202" s="173"/>
      <c r="AM202" s="173"/>
      <c r="AN202" s="173"/>
      <c r="AO202" s="173"/>
      <c r="AP202" s="173"/>
      <c r="AQ202" s="173" t="str">
        <f>"  " &amp; TEXT(AE202,"#0.00%") &amp; " " &amp; "객관식" &amp; "(장진)" &amp; " " &amp; IF(P202="","",TEXT(P202,"M/D-")) &amp; IF(Q202="","",TEXT(Q202,"M/D")) &amp; " "</f>
        <v xml:space="preserve">  100.00% 객관식(장진) 10/12-11/21 </v>
      </c>
      <c r="AR202" s="173"/>
      <c r="AS202" s="173"/>
    </row>
    <row r="203" spans="1:45" ht="12" customHeight="1" outlineLevel="2">
      <c r="A203" s="147"/>
      <c r="B203" s="147" t="s">
        <v>1353</v>
      </c>
      <c r="C203" s="147">
        <v>3</v>
      </c>
      <c r="D203" s="167" t="s">
        <v>1779</v>
      </c>
      <c r="E203" s="148"/>
      <c r="F203" s="148"/>
      <c r="G203" s="148" t="s">
        <v>1706</v>
      </c>
      <c r="H203" s="148"/>
      <c r="I203" s="148"/>
      <c r="J203" s="148"/>
      <c r="K203" s="148"/>
      <c r="L203" s="148"/>
      <c r="M203" s="148"/>
      <c r="N203" s="148"/>
      <c r="O203" s="148"/>
      <c r="P203" s="149">
        <v>44846</v>
      </c>
      <c r="Q203" s="149">
        <v>44886</v>
      </c>
      <c r="R203" s="148"/>
      <c r="S203" s="150">
        <v>145</v>
      </c>
      <c r="T203" s="150">
        <v>145</v>
      </c>
      <c r="U203" s="150">
        <v>29</v>
      </c>
      <c r="V203" s="150">
        <v>29</v>
      </c>
      <c r="W203" s="149"/>
      <c r="X203" s="149"/>
      <c r="Y203" s="151">
        <v>0</v>
      </c>
      <c r="Z203" s="152">
        <v>0</v>
      </c>
      <c r="AA203" s="150"/>
      <c r="AB203" s="148"/>
      <c r="AC203" s="153"/>
      <c r="AD203" s="166">
        <v>1</v>
      </c>
      <c r="AE203" s="211">
        <v>1</v>
      </c>
      <c r="AF203" s="172"/>
      <c r="AG203" s="173"/>
      <c r="AH203" s="173"/>
      <c r="AI203" s="173"/>
      <c r="AJ203" s="173"/>
      <c r="AK203" s="173"/>
      <c r="AL203" s="173"/>
      <c r="AM203" s="173"/>
      <c r="AN203" s="173"/>
      <c r="AO203" s="173"/>
      <c r="AP203" s="173"/>
      <c r="AQ203" s="173" t="str">
        <f>"  " &amp; TEXT(AE203,"#0.00%") &amp; " " &amp; "그림판" &amp; " " &amp; IF(P203="","",TEXT(P203,"M/D-")) &amp; IF(Q203="","",TEXT(Q203,"M/D")) &amp; " "</f>
        <v xml:space="preserve">  100.00% 그림판 10/12-11/21 </v>
      </c>
      <c r="AR203" s="173"/>
      <c r="AS203" s="173"/>
    </row>
    <row r="204" spans="1:45" ht="12" customHeight="1" outlineLevel="3">
      <c r="A204" s="147"/>
      <c r="B204" s="147"/>
      <c r="C204" s="147">
        <v>4</v>
      </c>
      <c r="D204" s="167" t="s">
        <v>1780</v>
      </c>
      <c r="E204" s="148"/>
      <c r="F204" s="148"/>
      <c r="G204" s="148"/>
      <c r="H204" s="148" t="s">
        <v>1604</v>
      </c>
      <c r="I204" s="148"/>
      <c r="J204" s="148"/>
      <c r="K204" s="148"/>
      <c r="L204" s="148"/>
      <c r="M204" s="148"/>
      <c r="N204" s="148"/>
      <c r="O204" s="148"/>
      <c r="P204" s="149">
        <v>44846</v>
      </c>
      <c r="Q204" s="149">
        <v>44886</v>
      </c>
      <c r="R204" s="148"/>
      <c r="S204" s="150">
        <v>29</v>
      </c>
      <c r="T204" s="150">
        <v>29</v>
      </c>
      <c r="U204" s="150">
        <v>29</v>
      </c>
      <c r="V204" s="150">
        <v>29</v>
      </c>
      <c r="W204" s="149"/>
      <c r="X204" s="149"/>
      <c r="Y204" s="151"/>
      <c r="Z204" s="152">
        <v>0</v>
      </c>
      <c r="AA204" s="150"/>
      <c r="AB204" s="148" t="s">
        <v>1570</v>
      </c>
      <c r="AC204" s="153"/>
      <c r="AD204" s="166">
        <v>1</v>
      </c>
      <c r="AE204" s="176">
        <v>1</v>
      </c>
      <c r="AF204" s="172"/>
      <c r="AG204" s="173"/>
      <c r="AH204" s="173"/>
      <c r="AI204" s="173"/>
      <c r="AJ204" s="173"/>
      <c r="AK204" s="173"/>
      <c r="AL204" s="173"/>
      <c r="AM204" s="173"/>
      <c r="AN204" s="173"/>
      <c r="AO204" s="173"/>
      <c r="AP204" s="173"/>
      <c r="AQ204" s="173" t="str">
        <f>"  " &amp; TEXT(AE204,"#0.00%") &amp; " " &amp; "텍스트" &amp; "(장진)" &amp; " " &amp; IF(P204="","",TEXT(P204,"M/D-")) &amp; IF(Q204="","",TEXT(Q204,"M/D")) &amp; " "</f>
        <v xml:space="preserve">  100.00% 텍스트(장진) 10/12-11/21 </v>
      </c>
      <c r="AR204" s="173"/>
      <c r="AS204" s="173"/>
    </row>
    <row r="205" spans="1:45" ht="12" customHeight="1" outlineLevel="3">
      <c r="A205" s="147"/>
      <c r="B205" s="147"/>
      <c r="C205" s="147">
        <v>4</v>
      </c>
      <c r="D205" s="167" t="s">
        <v>1781</v>
      </c>
      <c r="E205" s="148"/>
      <c r="F205" s="148"/>
      <c r="G205" s="148"/>
      <c r="H205" s="148" t="s">
        <v>1605</v>
      </c>
      <c r="I205" s="148"/>
      <c r="J205" s="148"/>
      <c r="K205" s="148"/>
      <c r="L205" s="148"/>
      <c r="M205" s="148"/>
      <c r="N205" s="148"/>
      <c r="O205" s="148"/>
      <c r="P205" s="149">
        <v>44846</v>
      </c>
      <c r="Q205" s="149">
        <v>44886</v>
      </c>
      <c r="R205" s="148"/>
      <c r="S205" s="150">
        <v>29</v>
      </c>
      <c r="T205" s="150">
        <v>29</v>
      </c>
      <c r="U205" s="150">
        <v>29</v>
      </c>
      <c r="V205" s="150">
        <v>29</v>
      </c>
      <c r="W205" s="149"/>
      <c r="X205" s="149"/>
      <c r="Y205" s="151"/>
      <c r="Z205" s="152">
        <v>0</v>
      </c>
      <c r="AA205" s="150"/>
      <c r="AB205" s="148" t="s">
        <v>1570</v>
      </c>
      <c r="AC205" s="153"/>
      <c r="AD205" s="166">
        <v>1</v>
      </c>
      <c r="AE205" s="176">
        <v>1</v>
      </c>
      <c r="AF205" s="172"/>
      <c r="AG205" s="173"/>
      <c r="AH205" s="173"/>
      <c r="AI205" s="173"/>
      <c r="AJ205" s="173"/>
      <c r="AK205" s="173"/>
      <c r="AL205" s="173"/>
      <c r="AM205" s="173"/>
      <c r="AN205" s="173"/>
      <c r="AO205" s="173"/>
      <c r="AP205" s="173"/>
      <c r="AQ205" s="173" t="str">
        <f>"  " &amp; TEXT(AE205,"#0.00%") &amp; " " &amp; "펜" &amp; "(장진)" &amp; " " &amp; IF(P205="","",TEXT(P205,"M/D-")) &amp; IF(Q205="","",TEXT(Q205,"M/D")) &amp; " "</f>
        <v xml:space="preserve">  100.00% 펜(장진) 10/12-11/21 </v>
      </c>
      <c r="AR205" s="173"/>
      <c r="AS205" s="173"/>
    </row>
    <row r="206" spans="1:45" ht="12" customHeight="1" outlineLevel="3">
      <c r="A206" s="147"/>
      <c r="B206" s="147"/>
      <c r="C206" s="147">
        <v>4</v>
      </c>
      <c r="D206" s="167" t="s">
        <v>1782</v>
      </c>
      <c r="E206" s="148"/>
      <c r="F206" s="148"/>
      <c r="G206" s="148"/>
      <c r="H206" s="148" t="s">
        <v>1606</v>
      </c>
      <c r="I206" s="148"/>
      <c r="J206" s="148"/>
      <c r="K206" s="148"/>
      <c r="L206" s="148"/>
      <c r="M206" s="148"/>
      <c r="N206" s="148"/>
      <c r="O206" s="148"/>
      <c r="P206" s="149">
        <v>44846</v>
      </c>
      <c r="Q206" s="149">
        <v>44886</v>
      </c>
      <c r="R206" s="148"/>
      <c r="S206" s="150">
        <v>29</v>
      </c>
      <c r="T206" s="150">
        <v>29</v>
      </c>
      <c r="U206" s="150">
        <v>29</v>
      </c>
      <c r="V206" s="150">
        <v>29</v>
      </c>
      <c r="W206" s="149"/>
      <c r="X206" s="149"/>
      <c r="Y206" s="151"/>
      <c r="Z206" s="152">
        <v>0</v>
      </c>
      <c r="AA206" s="150"/>
      <c r="AB206" s="148" t="s">
        <v>1570</v>
      </c>
      <c r="AC206" s="153"/>
      <c r="AD206" s="166">
        <v>1</v>
      </c>
      <c r="AE206" s="176">
        <v>1</v>
      </c>
      <c r="AF206" s="172"/>
      <c r="AG206" s="173"/>
      <c r="AH206" s="173"/>
      <c r="AI206" s="173"/>
      <c r="AJ206" s="173"/>
      <c r="AK206" s="173"/>
      <c r="AL206" s="173"/>
      <c r="AM206" s="173"/>
      <c r="AN206" s="173"/>
      <c r="AO206" s="173"/>
      <c r="AP206" s="173"/>
      <c r="AQ206" s="173" t="str">
        <f>"  " &amp; TEXT(AE206,"#0.00%") &amp; " " &amp; "도형" &amp; "(장진)" &amp; " " &amp; IF(P206="","",TEXT(P206,"M/D-")) &amp; IF(Q206="","",TEXT(Q206,"M/D")) &amp; " "</f>
        <v xml:space="preserve">  100.00% 도형(장진) 10/12-11/21 </v>
      </c>
      <c r="AR206" s="173"/>
      <c r="AS206" s="173"/>
    </row>
    <row r="207" spans="1:45" ht="12" customHeight="1" outlineLevel="3">
      <c r="A207" s="147"/>
      <c r="B207" s="147"/>
      <c r="C207" s="147">
        <v>4</v>
      </c>
      <c r="D207" s="167" t="s">
        <v>1783</v>
      </c>
      <c r="E207" s="148"/>
      <c r="F207" s="148"/>
      <c r="G207" s="148"/>
      <c r="H207" s="148" t="s">
        <v>1721</v>
      </c>
      <c r="I207" s="148"/>
      <c r="J207" s="148"/>
      <c r="K207" s="148"/>
      <c r="L207" s="148"/>
      <c r="M207" s="148"/>
      <c r="N207" s="148"/>
      <c r="O207" s="148"/>
      <c r="P207" s="149">
        <v>44846</v>
      </c>
      <c r="Q207" s="149">
        <v>44886</v>
      </c>
      <c r="R207" s="148"/>
      <c r="S207" s="150">
        <v>29</v>
      </c>
      <c r="T207" s="150">
        <v>29</v>
      </c>
      <c r="U207" s="150">
        <v>29</v>
      </c>
      <c r="V207" s="150">
        <v>29</v>
      </c>
      <c r="W207" s="149"/>
      <c r="X207" s="149"/>
      <c r="Y207" s="151"/>
      <c r="Z207" s="152">
        <v>0</v>
      </c>
      <c r="AA207" s="150"/>
      <c r="AB207" s="148" t="s">
        <v>1570</v>
      </c>
      <c r="AC207" s="153"/>
      <c r="AD207" s="166">
        <v>1</v>
      </c>
      <c r="AE207" s="176">
        <v>1</v>
      </c>
      <c r="AF207" s="172"/>
      <c r="AG207" s="173"/>
      <c r="AH207" s="173"/>
      <c r="AI207" s="173"/>
      <c r="AJ207" s="173"/>
      <c r="AK207" s="173"/>
      <c r="AL207" s="173"/>
      <c r="AM207" s="173"/>
      <c r="AN207" s="173"/>
      <c r="AO207" s="173"/>
      <c r="AP207" s="173"/>
      <c r="AQ207" s="173" t="str">
        <f>"  " &amp; TEXT(AE207,"#0.00%") &amp; " " &amp; "지우기/전체지우기" &amp; "(장진)" &amp; " " &amp; IF(P207="","",TEXT(P207,"M/D-")) &amp; IF(Q207="","",TEXT(Q207,"M/D")) &amp; " "</f>
        <v xml:space="preserve">  100.00% 지우기/전체지우기(장진) 10/12-11/21 </v>
      </c>
      <c r="AR207" s="173"/>
      <c r="AS207" s="173"/>
    </row>
    <row r="208" spans="1:45" ht="12" customHeight="1" outlineLevel="3">
      <c r="A208" s="147"/>
      <c r="B208" s="147"/>
      <c r="C208" s="147">
        <v>4</v>
      </c>
      <c r="D208" s="167" t="s">
        <v>1784</v>
      </c>
      <c r="E208" s="148"/>
      <c r="F208" s="148"/>
      <c r="G208" s="148"/>
      <c r="H208" s="148" t="s">
        <v>1722</v>
      </c>
      <c r="I208" s="148"/>
      <c r="J208" s="148"/>
      <c r="K208" s="148"/>
      <c r="L208" s="148"/>
      <c r="M208" s="148"/>
      <c r="N208" s="148"/>
      <c r="O208" s="148"/>
      <c r="P208" s="149">
        <v>44846</v>
      </c>
      <c r="Q208" s="149">
        <v>44886</v>
      </c>
      <c r="R208" s="148"/>
      <c r="S208" s="150">
        <v>29</v>
      </c>
      <c r="T208" s="150">
        <v>29</v>
      </c>
      <c r="U208" s="150">
        <v>29</v>
      </c>
      <c r="V208" s="150">
        <v>29</v>
      </c>
      <c r="W208" s="149"/>
      <c r="X208" s="149"/>
      <c r="Y208" s="151"/>
      <c r="Z208" s="152">
        <v>0</v>
      </c>
      <c r="AA208" s="150"/>
      <c r="AB208" s="148" t="s">
        <v>1570</v>
      </c>
      <c r="AC208" s="153"/>
      <c r="AD208" s="166">
        <v>1</v>
      </c>
      <c r="AE208" s="176">
        <v>1</v>
      </c>
      <c r="AF208" s="172"/>
      <c r="AG208" s="173"/>
      <c r="AH208" s="173"/>
      <c r="AI208" s="173"/>
      <c r="AJ208" s="173"/>
      <c r="AK208" s="173"/>
      <c r="AL208" s="173"/>
      <c r="AM208" s="173"/>
      <c r="AN208" s="173"/>
      <c r="AO208" s="173"/>
      <c r="AP208" s="173"/>
      <c r="AQ208" s="173" t="str">
        <f>"  " &amp; TEXT(AE208,"#0.00%") &amp; " " &amp; "레이어 기능" &amp; "(장진)" &amp; " " &amp; IF(P208="","",TEXT(P208,"M/D-")) &amp; IF(Q208="","",TEXT(Q208,"M/D")) &amp; " "</f>
        <v xml:space="preserve">  100.00% 레이어 기능(장진) 10/12-11/21 </v>
      </c>
      <c r="AR208" s="173"/>
      <c r="AS208" s="173"/>
    </row>
    <row r="209" spans="1:45" ht="12" customHeight="1" outlineLevel="2">
      <c r="A209" s="147"/>
      <c r="B209" s="147" t="s">
        <v>1353</v>
      </c>
      <c r="C209" s="147">
        <v>3</v>
      </c>
      <c r="D209" s="167" t="s">
        <v>1785</v>
      </c>
      <c r="E209" s="148"/>
      <c r="F209" s="148"/>
      <c r="G209" s="148" t="s">
        <v>1607</v>
      </c>
      <c r="H209" s="148"/>
      <c r="I209" s="148"/>
      <c r="J209" s="148"/>
      <c r="K209" s="148"/>
      <c r="L209" s="148"/>
      <c r="M209" s="148"/>
      <c r="N209" s="148"/>
      <c r="O209" s="148"/>
      <c r="P209" s="149">
        <v>44846</v>
      </c>
      <c r="Q209" s="149">
        <v>44886</v>
      </c>
      <c r="R209" s="148"/>
      <c r="S209" s="150">
        <v>87</v>
      </c>
      <c r="T209" s="150">
        <v>87</v>
      </c>
      <c r="U209" s="150">
        <v>29</v>
      </c>
      <c r="V209" s="150">
        <v>29</v>
      </c>
      <c r="W209" s="149"/>
      <c r="X209" s="149"/>
      <c r="Y209" s="151">
        <v>0</v>
      </c>
      <c r="Z209" s="152">
        <v>0</v>
      </c>
      <c r="AA209" s="150"/>
      <c r="AB209" s="148"/>
      <c r="AC209" s="153"/>
      <c r="AD209" s="166">
        <v>1</v>
      </c>
      <c r="AE209" s="211">
        <v>1</v>
      </c>
      <c r="AF209" s="172"/>
      <c r="AG209" s="173"/>
      <c r="AH209" s="173"/>
      <c r="AI209" s="173"/>
      <c r="AJ209" s="173"/>
      <c r="AK209" s="173"/>
      <c r="AL209" s="173"/>
      <c r="AM209" s="173"/>
      <c r="AN209" s="173"/>
      <c r="AO209" s="173"/>
      <c r="AP209" s="173"/>
      <c r="AQ209" s="173" t="str">
        <f>"  " &amp; TEXT(AE209,"#0.00%") &amp; " " &amp; "화면 송수신" &amp; " " &amp; IF(P209="","",TEXT(P209,"M/D-")) &amp; IF(Q209="","",TEXT(Q209,"M/D")) &amp; " "</f>
        <v xml:space="preserve">  100.00% 화면 송수신 10/12-11/21 </v>
      </c>
      <c r="AR209" s="173"/>
      <c r="AS209" s="173"/>
    </row>
    <row r="210" spans="1:45" ht="12" customHeight="1" outlineLevel="3">
      <c r="A210" s="147"/>
      <c r="B210" s="147"/>
      <c r="C210" s="147">
        <v>4</v>
      </c>
      <c r="D210" s="167" t="s">
        <v>1786</v>
      </c>
      <c r="E210" s="148"/>
      <c r="F210" s="148"/>
      <c r="G210" s="148"/>
      <c r="H210" s="148" t="s">
        <v>1610</v>
      </c>
      <c r="I210" s="148"/>
      <c r="J210" s="148"/>
      <c r="K210" s="148"/>
      <c r="L210" s="148"/>
      <c r="M210" s="148"/>
      <c r="N210" s="148"/>
      <c r="O210" s="148"/>
      <c r="P210" s="149">
        <v>44846</v>
      </c>
      <c r="Q210" s="149">
        <v>44886</v>
      </c>
      <c r="R210" s="148"/>
      <c r="S210" s="150">
        <v>29</v>
      </c>
      <c r="T210" s="150">
        <v>29</v>
      </c>
      <c r="U210" s="150">
        <v>29</v>
      </c>
      <c r="V210" s="150">
        <v>29</v>
      </c>
      <c r="W210" s="149"/>
      <c r="X210" s="149"/>
      <c r="Y210" s="151"/>
      <c r="Z210" s="152">
        <v>0</v>
      </c>
      <c r="AA210" s="150"/>
      <c r="AB210" s="148" t="s">
        <v>1570</v>
      </c>
      <c r="AC210" s="153"/>
      <c r="AD210" s="166">
        <v>1</v>
      </c>
      <c r="AE210" s="176">
        <v>1</v>
      </c>
      <c r="AF210" s="172"/>
      <c r="AG210" s="173"/>
      <c r="AH210" s="173"/>
      <c r="AI210" s="173"/>
      <c r="AJ210" s="173"/>
      <c r="AK210" s="173"/>
      <c r="AL210" s="173"/>
      <c r="AM210" s="173"/>
      <c r="AN210" s="173"/>
      <c r="AO210" s="173"/>
      <c r="AP210" s="173"/>
      <c r="AQ210" s="173" t="str">
        <f>"  " &amp; TEXT(AE210,"#0.00%") &amp; " " &amp; "서버 송신" &amp; "(장진)" &amp; " " &amp; IF(P210="","",TEXT(P210,"M/D-")) &amp; IF(Q210="","",TEXT(Q210,"M/D")) &amp; " "</f>
        <v xml:space="preserve">  100.00% 서버 송신(장진) 10/12-11/21 </v>
      </c>
      <c r="AR210" s="173"/>
      <c r="AS210" s="173"/>
    </row>
    <row r="211" spans="1:45" ht="12" customHeight="1" outlineLevel="3">
      <c r="A211" s="147"/>
      <c r="B211" s="147"/>
      <c r="C211" s="147">
        <v>4</v>
      </c>
      <c r="D211" s="167" t="s">
        <v>1787</v>
      </c>
      <c r="E211" s="148"/>
      <c r="F211" s="148"/>
      <c r="G211" s="148"/>
      <c r="H211" s="148" t="s">
        <v>1611</v>
      </c>
      <c r="I211" s="148"/>
      <c r="J211" s="148"/>
      <c r="K211" s="148"/>
      <c r="L211" s="148"/>
      <c r="M211" s="148"/>
      <c r="N211" s="148"/>
      <c r="O211" s="148"/>
      <c r="P211" s="149">
        <v>44846</v>
      </c>
      <c r="Q211" s="149">
        <v>44886</v>
      </c>
      <c r="R211" s="148"/>
      <c r="S211" s="150">
        <v>29</v>
      </c>
      <c r="T211" s="150">
        <v>29</v>
      </c>
      <c r="U211" s="150">
        <v>29</v>
      </c>
      <c r="V211" s="150">
        <v>29</v>
      </c>
      <c r="W211" s="149"/>
      <c r="X211" s="149"/>
      <c r="Y211" s="151"/>
      <c r="Z211" s="152">
        <v>0</v>
      </c>
      <c r="AA211" s="150"/>
      <c r="AB211" s="148" t="s">
        <v>1570</v>
      </c>
      <c r="AC211" s="153"/>
      <c r="AD211" s="166">
        <v>1</v>
      </c>
      <c r="AE211" s="176">
        <v>1</v>
      </c>
      <c r="AF211" s="172"/>
      <c r="AG211" s="173"/>
      <c r="AH211" s="173"/>
      <c r="AI211" s="173"/>
      <c r="AJ211" s="173"/>
      <c r="AK211" s="173"/>
      <c r="AL211" s="173"/>
      <c r="AM211" s="173"/>
      <c r="AN211" s="173"/>
      <c r="AO211" s="173"/>
      <c r="AP211" s="173"/>
      <c r="AQ211" s="173" t="str">
        <f>"  " &amp; TEXT(AE211,"#0.00%") &amp; " " &amp; "클라이언트 수신" &amp; "(장진)" &amp; " " &amp; IF(P211="","",TEXT(P211,"M/D-")) &amp; IF(Q211="","",TEXT(Q211,"M/D")) &amp; " "</f>
        <v xml:space="preserve">  100.00% 클라이언트 수신(장진) 10/12-11/21 </v>
      </c>
      <c r="AR211" s="173"/>
      <c r="AS211" s="173"/>
    </row>
    <row r="212" spans="1:45" ht="12" customHeight="1" outlineLevel="3">
      <c r="A212" s="147"/>
      <c r="B212" s="147"/>
      <c r="C212" s="147">
        <v>4</v>
      </c>
      <c r="D212" s="167" t="s">
        <v>1788</v>
      </c>
      <c r="E212" s="148"/>
      <c r="F212" s="148"/>
      <c r="G212" s="148"/>
      <c r="H212" s="148" t="s">
        <v>1725</v>
      </c>
      <c r="I212" s="148"/>
      <c r="J212" s="148"/>
      <c r="K212" s="148"/>
      <c r="L212" s="148"/>
      <c r="M212" s="148"/>
      <c r="N212" s="148"/>
      <c r="O212" s="148"/>
      <c r="P212" s="149">
        <v>44846</v>
      </c>
      <c r="Q212" s="149">
        <v>44886</v>
      </c>
      <c r="R212" s="148"/>
      <c r="S212" s="150">
        <v>29</v>
      </c>
      <c r="T212" s="150">
        <v>29</v>
      </c>
      <c r="U212" s="150">
        <v>29</v>
      </c>
      <c r="V212" s="150">
        <v>29</v>
      </c>
      <c r="W212" s="149"/>
      <c r="X212" s="149"/>
      <c r="Y212" s="151"/>
      <c r="Z212" s="152">
        <v>0</v>
      </c>
      <c r="AA212" s="150"/>
      <c r="AB212" s="148" t="s">
        <v>1570</v>
      </c>
      <c r="AC212" s="153"/>
      <c r="AD212" s="166">
        <v>1</v>
      </c>
      <c r="AE212" s="176">
        <v>1</v>
      </c>
      <c r="AF212" s="172"/>
      <c r="AG212" s="173"/>
      <c r="AH212" s="173"/>
      <c r="AI212" s="173"/>
      <c r="AJ212" s="173"/>
      <c r="AK212" s="173"/>
      <c r="AL212" s="173"/>
      <c r="AM212" s="173"/>
      <c r="AN212" s="173"/>
      <c r="AO212" s="173"/>
      <c r="AP212" s="173"/>
      <c r="AQ212" s="173" t="str">
        <f>"  " &amp; TEXT(AE212,"#0.00%") &amp; " " &amp; "클라이언트 화면 리스트" &amp; "(장진)" &amp; " " &amp; IF(P212="","",TEXT(P212,"M/D-")) &amp; IF(Q212="","",TEXT(Q212,"M/D")) &amp; " "</f>
        <v xml:space="preserve">  100.00% 클라이언트 화면 리스트(장진) 10/12-11/21 </v>
      </c>
      <c r="AR212" s="173"/>
      <c r="AS212" s="173"/>
    </row>
    <row r="213" spans="1:45" ht="12" customHeight="1">
      <c r="A213" s="223"/>
      <c r="B213" s="223"/>
      <c r="C213" s="223"/>
      <c r="D213" s="224"/>
      <c r="E213" s="225"/>
      <c r="F213" s="225"/>
      <c r="G213" s="225"/>
      <c r="H213" s="225"/>
      <c r="I213" s="225"/>
      <c r="J213" s="225"/>
      <c r="K213" s="225"/>
      <c r="L213" s="225"/>
      <c r="M213" s="225"/>
      <c r="N213" s="225"/>
      <c r="O213" s="225"/>
      <c r="P213" s="226"/>
      <c r="Q213" s="226"/>
      <c r="R213" s="225"/>
      <c r="S213" s="227"/>
      <c r="T213" s="227"/>
      <c r="U213" s="227"/>
      <c r="V213" s="227"/>
      <c r="W213" s="226"/>
      <c r="X213" s="226"/>
      <c r="Y213" s="228"/>
      <c r="Z213" s="229"/>
      <c r="AA213" s="227"/>
      <c r="AB213" s="225"/>
      <c r="AC213" s="230"/>
      <c r="AD213" s="231"/>
      <c r="AE213" s="232"/>
      <c r="AF213" s="169"/>
      <c r="AG213" s="169"/>
      <c r="AH213" s="169"/>
      <c r="AI213" s="169"/>
      <c r="AJ213" s="169"/>
      <c r="AK213" s="169"/>
      <c r="AL213" s="169"/>
      <c r="AM213" s="169"/>
      <c r="AN213" s="169"/>
      <c r="AO213" s="169"/>
      <c r="AP213" s="169"/>
      <c r="AQ213" s="169"/>
      <c r="AR213" s="169"/>
      <c r="AS213" s="169"/>
    </row>
  </sheetData>
  <sheetProtection formatCells="0" formatColumns="0" formatRows="0" insertColumns="0" insertRows="0" insertHyperlinks="0" deleteColumns="0" deleteRows="0" sort="0" autoFilter="0" pivotTables="0"/>
  <dataConsolidate/>
  <mergeCells count="31">
    <mergeCell ref="AF3:AI3"/>
    <mergeCell ref="AF2:AI2"/>
    <mergeCell ref="AB3:AB4"/>
    <mergeCell ref="D2:F2"/>
    <mergeCell ref="AA3:AA4"/>
    <mergeCell ref="P3:P4"/>
    <mergeCell ref="Q3:Q4"/>
    <mergeCell ref="R3:R4"/>
    <mergeCell ref="S3:S4"/>
    <mergeCell ref="Y3:Y4"/>
    <mergeCell ref="Z3:Z4"/>
    <mergeCell ref="T3:T4"/>
    <mergeCell ref="U3:U4"/>
    <mergeCell ref="V3:V4"/>
    <mergeCell ref="W3:W4"/>
    <mergeCell ref="X3:X4"/>
    <mergeCell ref="AC3:AC4"/>
    <mergeCell ref="AD3:AD4"/>
    <mergeCell ref="AE3:AE4"/>
    <mergeCell ref="O3:O4"/>
    <mergeCell ref="A3:A4"/>
    <mergeCell ref="B3:B4"/>
    <mergeCell ref="C3:C4"/>
    <mergeCell ref="D3:D4"/>
    <mergeCell ref="E3:N4"/>
    <mergeCell ref="AJ3:AM3"/>
    <mergeCell ref="AJ2:AM2"/>
    <mergeCell ref="AN3:AQ3"/>
    <mergeCell ref="AN2:AQ2"/>
    <mergeCell ref="AR3:AU3"/>
    <mergeCell ref="AR2:AU2"/>
  </mergeCells>
  <phoneticPr fontId="1" type="noConversion"/>
  <conditionalFormatting sqref="D5:AD21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21"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62" t="s">
        <v>1866</v>
      </c>
      <c r="B1" s="2"/>
      <c r="C1" s="2"/>
      <c r="D1" s="2"/>
      <c r="E1" s="2"/>
      <c r="F1" s="2"/>
      <c r="G1" s="2"/>
      <c r="H1" s="2"/>
      <c r="I1" s="2"/>
      <c r="J1" s="2"/>
      <c r="K1" s="2"/>
      <c r="L1" s="283"/>
      <c r="M1" s="284"/>
      <c r="N1" s="284"/>
      <c r="O1" s="3"/>
      <c r="P1" s="3"/>
      <c r="Q1" s="3"/>
    </row>
    <row r="2" spans="1:17" s="7" customFormat="1" ht="12.75">
      <c r="A2" s="5" t="s">
        <v>1414</v>
      </c>
      <c r="B2" s="6"/>
    </row>
    <row r="3" spans="1:17" s="7" customFormat="1" ht="12.75">
      <c r="A3" s="5" t="s">
        <v>1415</v>
      </c>
      <c r="B3" s="6"/>
    </row>
    <row r="4" spans="1:17" s="7" customFormat="1" ht="12.75">
      <c r="A4" s="285"/>
      <c r="B4" s="285"/>
      <c r="C4" s="8"/>
      <c r="D4" s="9"/>
      <c r="E4" s="9"/>
      <c r="F4" s="9"/>
    </row>
    <row r="5" spans="1:17" s="15" customFormat="1" ht="12.75">
      <c r="A5" s="10"/>
      <c r="B5" s="11"/>
      <c r="C5" s="12"/>
      <c r="D5" s="13"/>
      <c r="E5" s="14"/>
      <c r="F5" s="14"/>
      <c r="G5" s="14"/>
    </row>
    <row r="6" spans="1:17" s="15" customFormat="1" ht="12.75">
      <c r="A6" s="16" t="s">
        <v>1416</v>
      </c>
      <c r="B6" s="17">
        <v>2865</v>
      </c>
      <c r="C6" s="15" t="s">
        <v>0</v>
      </c>
      <c r="D6" s="282" t="s">
        <v>1417</v>
      </c>
      <c r="E6" s="282"/>
      <c r="F6" s="282"/>
      <c r="G6" s="282"/>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1418</v>
      </c>
      <c r="B9" s="17">
        <v>2865</v>
      </c>
      <c r="C9" s="15" t="s">
        <v>0</v>
      </c>
      <c r="D9" s="281" t="s">
        <v>1419</v>
      </c>
      <c r="E9" s="281"/>
      <c r="F9" s="281"/>
      <c r="G9" s="281"/>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1870</v>
      </c>
      <c r="B12" s="17">
        <v>2853</v>
      </c>
      <c r="C12" s="15" t="s">
        <v>0</v>
      </c>
      <c r="D12" s="286" t="s">
        <v>1753</v>
      </c>
      <c r="E12" s="281"/>
      <c r="F12" s="281"/>
      <c r="G12" s="281"/>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1420</v>
      </c>
      <c r="B15" s="17"/>
      <c r="C15" s="15" t="s">
        <v>0</v>
      </c>
      <c r="D15" s="281" t="s">
        <v>1421</v>
      </c>
      <c r="E15" s="281"/>
      <c r="F15" s="281"/>
      <c r="G15" s="281"/>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1422</v>
      </c>
      <c r="B18" s="39">
        <v>1</v>
      </c>
      <c r="D18" s="281" t="s">
        <v>1423</v>
      </c>
      <c r="E18" s="281"/>
      <c r="F18" s="281"/>
      <c r="G18" s="281"/>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1424</v>
      </c>
      <c r="B21" s="39">
        <v>0.99581151832460735</v>
      </c>
      <c r="D21" s="281" t="s">
        <v>1425</v>
      </c>
      <c r="E21" s="281"/>
      <c r="F21" s="281"/>
      <c r="G21" s="281"/>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1426</v>
      </c>
      <c r="B24" s="49">
        <f>ACTUAL_RATE-PLANNED_RATE</f>
        <v>-4.1884816753926524E-3</v>
      </c>
      <c r="D24" s="282" t="s">
        <v>1427</v>
      </c>
      <c r="E24" s="282"/>
      <c r="F24" s="282"/>
      <c r="G24" s="282"/>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17" customWidth="1"/>
    <col min="2" max="3" width="10.625" style="117" bestFit="1" customWidth="1"/>
    <col min="4" max="5" width="9.125" style="117"/>
    <col min="6" max="6" width="9.125" style="212"/>
    <col min="7" max="12" width="9.125" style="76"/>
    <col min="13" max="26" width="9.125" style="117"/>
    <col min="27" max="27" width="0" style="117" hidden="1" customWidth="1"/>
    <col min="28" max="16384" width="9.125" style="117"/>
  </cols>
  <sheetData>
    <row r="1" spans="2:15" ht="36.950000000000003" customHeight="1">
      <c r="B1" s="62" t="s">
        <v>1540</v>
      </c>
    </row>
    <row r="2" spans="2:15">
      <c r="B2" s="117" t="s">
        <v>1541</v>
      </c>
    </row>
    <row r="3" spans="2:15">
      <c r="B3" s="117" t="s">
        <v>1542</v>
      </c>
    </row>
    <row r="4" spans="2:15">
      <c r="B4" s="214">
        <v>20</v>
      </c>
      <c r="C4" s="117" t="s">
        <v>1543</v>
      </c>
    </row>
    <row r="6" spans="2:15" ht="30">
      <c r="B6" s="63" t="s">
        <v>1428</v>
      </c>
      <c r="C6" s="75" t="s">
        <v>1429</v>
      </c>
      <c r="D6" s="75" t="s">
        <v>1</v>
      </c>
      <c r="E6" s="75" t="s">
        <v>2</v>
      </c>
      <c r="F6" s="287" t="s">
        <v>1544</v>
      </c>
      <c r="G6" s="288"/>
      <c r="H6" s="288"/>
      <c r="I6" s="288"/>
      <c r="J6" s="288"/>
      <c r="K6" s="288"/>
      <c r="L6" s="288"/>
      <c r="M6" s="288"/>
      <c r="N6" s="288"/>
      <c r="O6" s="288"/>
    </row>
    <row r="7" spans="2:15" ht="16.5">
      <c r="B7" s="204">
        <v>44701</v>
      </c>
      <c r="C7" s="204">
        <v>44702</v>
      </c>
      <c r="D7" s="205">
        <v>2</v>
      </c>
      <c r="E7" s="216">
        <f>D7/$B$4</f>
        <v>0.1</v>
      </c>
      <c r="F7" s="217" t="str">
        <f t="shared" ref="F7:F28" si="0">REPT("|",IF(D7&gt;0,IF(D7/1&lt;1,1,D7/1)))</f>
        <v>||</v>
      </c>
      <c r="G7" s="206"/>
      <c r="H7" s="206"/>
      <c r="I7" s="206"/>
      <c r="J7" s="206"/>
      <c r="K7" s="206"/>
      <c r="L7" s="206"/>
      <c r="M7" s="205"/>
      <c r="N7" s="205"/>
      <c r="O7" s="205"/>
    </row>
    <row r="8" spans="2:15" ht="16.5">
      <c r="B8" s="207">
        <v>44703</v>
      </c>
      <c r="C8" s="207">
        <v>44709</v>
      </c>
      <c r="D8" s="208">
        <v>8</v>
      </c>
      <c r="E8" s="218">
        <f t="shared" ref="E8:E28" si="1">D8/$B$4</f>
        <v>0.4</v>
      </c>
      <c r="F8" s="219" t="str">
        <f t="shared" si="0"/>
        <v>||||||||</v>
      </c>
      <c r="G8" s="209"/>
      <c r="H8" s="209"/>
      <c r="I8" s="209"/>
      <c r="J8" s="209"/>
      <c r="K8" s="209"/>
      <c r="L8" s="209"/>
      <c r="M8" s="208"/>
      <c r="N8" s="208"/>
      <c r="O8" s="208"/>
    </row>
    <row r="9" spans="2:15" ht="16.5">
      <c r="B9" s="207">
        <v>44710</v>
      </c>
      <c r="C9" s="207">
        <v>44716</v>
      </c>
      <c r="D9" s="208">
        <v>15.8</v>
      </c>
      <c r="E9" s="218">
        <f t="shared" si="1"/>
        <v>0.79</v>
      </c>
      <c r="F9" s="219" t="str">
        <f t="shared" si="0"/>
        <v>|||||||||||||||</v>
      </c>
      <c r="G9" s="209"/>
      <c r="H9" s="209"/>
      <c r="I9" s="209"/>
      <c r="J9" s="209"/>
      <c r="K9" s="209"/>
      <c r="L9" s="209"/>
      <c r="M9" s="208"/>
      <c r="N9" s="208"/>
      <c r="O9" s="208"/>
    </row>
    <row r="10" spans="2:15" ht="16.5">
      <c r="B10" s="207">
        <v>44717</v>
      </c>
      <c r="C10" s="207">
        <v>44723</v>
      </c>
      <c r="D10" s="208">
        <v>14.8</v>
      </c>
      <c r="E10" s="218">
        <f t="shared" si="1"/>
        <v>0.74</v>
      </c>
      <c r="F10" s="219" t="str">
        <f t="shared" si="0"/>
        <v>||||||||||||||</v>
      </c>
      <c r="G10" s="209"/>
      <c r="H10" s="209"/>
      <c r="I10" s="209"/>
      <c r="J10" s="209"/>
      <c r="K10" s="209"/>
      <c r="L10" s="209"/>
      <c r="M10" s="208"/>
      <c r="N10" s="208"/>
      <c r="O10" s="208"/>
    </row>
    <row r="11" spans="2:15" ht="16.5">
      <c r="B11" s="207">
        <v>44724</v>
      </c>
      <c r="C11" s="207">
        <v>44730</v>
      </c>
      <c r="D11" s="208">
        <v>5.8</v>
      </c>
      <c r="E11" s="218">
        <f t="shared" si="1"/>
        <v>0.28999999999999998</v>
      </c>
      <c r="F11" s="219" t="str">
        <f t="shared" si="0"/>
        <v>|||||</v>
      </c>
      <c r="G11" s="209"/>
      <c r="H11" s="209"/>
      <c r="I11" s="209"/>
      <c r="J11" s="209"/>
      <c r="K11" s="209"/>
      <c r="L11" s="209"/>
      <c r="M11" s="208"/>
      <c r="N11" s="208"/>
      <c r="O11" s="208"/>
    </row>
    <row r="12" spans="2:15" ht="16.5">
      <c r="B12" s="207">
        <v>44731</v>
      </c>
      <c r="C12" s="207">
        <v>44737</v>
      </c>
      <c r="D12" s="208">
        <v>10</v>
      </c>
      <c r="E12" s="218">
        <f t="shared" si="1"/>
        <v>0.5</v>
      </c>
      <c r="F12" s="219" t="str">
        <f t="shared" si="0"/>
        <v>||||||||||</v>
      </c>
      <c r="G12" s="209"/>
      <c r="H12" s="209"/>
      <c r="I12" s="209"/>
      <c r="J12" s="209"/>
      <c r="K12" s="209"/>
      <c r="L12" s="209"/>
      <c r="M12" s="208"/>
      <c r="N12" s="208"/>
      <c r="O12" s="208"/>
    </row>
    <row r="13" spans="2:15" ht="16.5">
      <c r="B13" s="207">
        <v>44738</v>
      </c>
      <c r="C13" s="207">
        <v>44744</v>
      </c>
      <c r="D13" s="208">
        <v>20</v>
      </c>
      <c r="E13" s="218">
        <f t="shared" si="1"/>
        <v>1</v>
      </c>
      <c r="F13" s="219" t="str">
        <f t="shared" si="0"/>
        <v>||||||||||||||||||||</v>
      </c>
      <c r="G13" s="209"/>
      <c r="H13" s="209"/>
      <c r="I13" s="209"/>
      <c r="J13" s="209"/>
      <c r="K13" s="209"/>
      <c r="L13" s="209"/>
      <c r="M13" s="208"/>
      <c r="N13" s="208"/>
      <c r="O13" s="208"/>
    </row>
    <row r="14" spans="2:15" ht="16.5">
      <c r="B14" s="207">
        <v>44745</v>
      </c>
      <c r="C14" s="207">
        <v>44751</v>
      </c>
      <c r="D14" s="208">
        <v>10</v>
      </c>
      <c r="E14" s="218">
        <f t="shared" si="1"/>
        <v>0.5</v>
      </c>
      <c r="F14" s="219" t="str">
        <f t="shared" si="0"/>
        <v>||||||||||</v>
      </c>
      <c r="G14" s="209"/>
      <c r="H14" s="209"/>
      <c r="I14" s="209"/>
      <c r="J14" s="209"/>
      <c r="K14" s="209"/>
      <c r="L14" s="209"/>
      <c r="M14" s="208"/>
      <c r="N14" s="208"/>
      <c r="O14" s="208"/>
    </row>
    <row r="15" spans="2:15" ht="16.5">
      <c r="B15" s="207">
        <v>44752</v>
      </c>
      <c r="C15" s="207">
        <v>44758</v>
      </c>
      <c r="D15" s="208">
        <v>5</v>
      </c>
      <c r="E15" s="218">
        <f t="shared" si="1"/>
        <v>0.25</v>
      </c>
      <c r="F15" s="219" t="str">
        <f t="shared" si="0"/>
        <v>|||||</v>
      </c>
      <c r="G15" s="209"/>
      <c r="H15" s="209"/>
      <c r="I15" s="209"/>
      <c r="J15" s="209"/>
      <c r="K15" s="209"/>
      <c r="L15" s="209"/>
      <c r="M15" s="208"/>
      <c r="N15" s="208"/>
      <c r="O15" s="208"/>
    </row>
    <row r="16" spans="2:15" ht="16.5">
      <c r="B16" s="207">
        <v>44759</v>
      </c>
      <c r="C16" s="207">
        <v>44765</v>
      </c>
      <c r="D16" s="208">
        <v>25</v>
      </c>
      <c r="E16" s="218">
        <f t="shared" si="1"/>
        <v>1.25</v>
      </c>
      <c r="F16" s="219" t="str">
        <f t="shared" si="0"/>
        <v>|||||||||||||||||||||||||</v>
      </c>
      <c r="G16" s="209"/>
      <c r="H16" s="209"/>
      <c r="I16" s="209"/>
      <c r="J16" s="209"/>
      <c r="K16" s="209"/>
      <c r="L16" s="209"/>
      <c r="M16" s="208"/>
      <c r="N16" s="208"/>
      <c r="O16" s="208"/>
    </row>
    <row r="17" spans="2:15" ht="16.5">
      <c r="B17" s="207">
        <v>44766</v>
      </c>
      <c r="C17" s="207">
        <v>44772</v>
      </c>
      <c r="D17" s="208">
        <v>15</v>
      </c>
      <c r="E17" s="218">
        <f t="shared" si="1"/>
        <v>0.75</v>
      </c>
      <c r="F17" s="219" t="str">
        <f t="shared" si="0"/>
        <v>|||||||||||||||</v>
      </c>
      <c r="G17" s="209"/>
      <c r="H17" s="209"/>
      <c r="I17" s="209"/>
      <c r="J17" s="209"/>
      <c r="K17" s="209"/>
      <c r="L17" s="209"/>
      <c r="M17" s="208"/>
      <c r="N17" s="208"/>
      <c r="O17" s="208"/>
    </row>
    <row r="18" spans="2:15" ht="16.5">
      <c r="B18" s="207">
        <v>44773</v>
      </c>
      <c r="C18" s="207">
        <v>44779</v>
      </c>
      <c r="D18" s="208">
        <v>20</v>
      </c>
      <c r="E18" s="218">
        <f t="shared" si="1"/>
        <v>1</v>
      </c>
      <c r="F18" s="219" t="str">
        <f t="shared" si="0"/>
        <v>||||||||||||||||||||</v>
      </c>
      <c r="G18" s="209"/>
      <c r="H18" s="209"/>
      <c r="I18" s="209"/>
      <c r="J18" s="209"/>
      <c r="K18" s="209"/>
      <c r="L18" s="209"/>
      <c r="M18" s="208"/>
      <c r="N18" s="208"/>
      <c r="O18" s="208"/>
    </row>
    <row r="19" spans="2:15" ht="16.5">
      <c r="B19" s="207">
        <v>44780</v>
      </c>
      <c r="C19" s="207">
        <v>44786</v>
      </c>
      <c r="D19" s="208">
        <v>20</v>
      </c>
      <c r="E19" s="218">
        <f t="shared" si="1"/>
        <v>1</v>
      </c>
      <c r="F19" s="219" t="str">
        <f t="shared" si="0"/>
        <v>||||||||||||||||||||</v>
      </c>
      <c r="G19" s="209"/>
      <c r="H19" s="209"/>
      <c r="I19" s="209"/>
      <c r="J19" s="209"/>
      <c r="K19" s="209"/>
      <c r="L19" s="209"/>
      <c r="M19" s="208"/>
      <c r="N19" s="208"/>
      <c r="O19" s="208"/>
    </row>
    <row r="20" spans="2:15" ht="16.5">
      <c r="B20" s="207">
        <v>44787</v>
      </c>
      <c r="C20" s="207">
        <v>44793</v>
      </c>
      <c r="D20" s="208">
        <v>16</v>
      </c>
      <c r="E20" s="218">
        <f t="shared" si="1"/>
        <v>0.8</v>
      </c>
      <c r="F20" s="219" t="str">
        <f t="shared" si="0"/>
        <v>||||||||||||||||</v>
      </c>
      <c r="G20" s="209"/>
      <c r="H20" s="209"/>
      <c r="I20" s="209"/>
      <c r="J20" s="209"/>
      <c r="K20" s="209"/>
      <c r="L20" s="209"/>
      <c r="M20" s="208"/>
      <c r="N20" s="208"/>
      <c r="O20" s="208"/>
    </row>
    <row r="21" spans="2:15" ht="16.5">
      <c r="B21" s="207">
        <v>44794</v>
      </c>
      <c r="C21" s="207">
        <v>44800</v>
      </c>
      <c r="D21" s="208">
        <v>21</v>
      </c>
      <c r="E21" s="218">
        <f t="shared" si="1"/>
        <v>1.05</v>
      </c>
      <c r="F21" s="219" t="str">
        <f t="shared" si="0"/>
        <v>|||||||||||||||||||||</v>
      </c>
      <c r="G21" s="209"/>
      <c r="H21" s="209"/>
      <c r="I21" s="209"/>
      <c r="J21" s="209"/>
      <c r="K21" s="209"/>
      <c r="L21" s="209"/>
      <c r="M21" s="208"/>
      <c r="N21" s="208"/>
      <c r="O21" s="208"/>
    </row>
    <row r="22" spans="2:15" ht="16.5">
      <c r="B22" s="207">
        <v>44801</v>
      </c>
      <c r="C22" s="207">
        <v>44807</v>
      </c>
      <c r="D22" s="208">
        <v>26</v>
      </c>
      <c r="E22" s="218">
        <f t="shared" si="1"/>
        <v>1.3</v>
      </c>
      <c r="F22" s="219" t="str">
        <f t="shared" si="0"/>
        <v>||||||||||||||||||||||||||</v>
      </c>
      <c r="G22" s="209"/>
      <c r="H22" s="209"/>
      <c r="I22" s="209"/>
      <c r="J22" s="209"/>
      <c r="K22" s="209"/>
      <c r="L22" s="209"/>
      <c r="M22" s="208"/>
      <c r="N22" s="208"/>
      <c r="O22" s="208"/>
    </row>
    <row r="23" spans="2:15" ht="16.5">
      <c r="B23" s="207">
        <v>44808</v>
      </c>
      <c r="C23" s="207">
        <v>44814</v>
      </c>
      <c r="D23" s="208">
        <v>17.8</v>
      </c>
      <c r="E23" s="218">
        <f t="shared" si="1"/>
        <v>0.89</v>
      </c>
      <c r="F23" s="219" t="str">
        <f t="shared" si="0"/>
        <v>|||||||||||||||||</v>
      </c>
      <c r="G23" s="209"/>
      <c r="H23" s="209"/>
      <c r="I23" s="209"/>
      <c r="J23" s="209"/>
      <c r="K23" s="209"/>
      <c r="L23" s="209"/>
      <c r="M23" s="208"/>
      <c r="N23" s="208"/>
      <c r="O23" s="208"/>
    </row>
    <row r="24" spans="2:15" ht="16.5">
      <c r="B24" s="207">
        <v>44815</v>
      </c>
      <c r="C24" s="207">
        <v>44821</v>
      </c>
      <c r="D24" s="208">
        <v>13.6</v>
      </c>
      <c r="E24" s="218">
        <f t="shared" si="1"/>
        <v>0.67999999999999994</v>
      </c>
      <c r="F24" s="219" t="str">
        <f t="shared" si="0"/>
        <v>|||||||||||||</v>
      </c>
      <c r="G24" s="209"/>
      <c r="H24" s="209"/>
      <c r="I24" s="209"/>
      <c r="J24" s="209"/>
      <c r="K24" s="209"/>
      <c r="L24" s="209"/>
      <c r="M24" s="208"/>
      <c r="N24" s="208"/>
      <c r="O24" s="208"/>
    </row>
    <row r="25" spans="2:15" ht="16.5">
      <c r="B25" s="207">
        <v>44822</v>
      </c>
      <c r="C25" s="207">
        <v>44828</v>
      </c>
      <c r="D25" s="208">
        <v>11</v>
      </c>
      <c r="E25" s="218">
        <f t="shared" si="1"/>
        <v>0.55000000000000004</v>
      </c>
      <c r="F25" s="219" t="str">
        <f t="shared" si="0"/>
        <v>|||||||||||</v>
      </c>
      <c r="G25" s="209"/>
      <c r="H25" s="209"/>
      <c r="I25" s="209"/>
      <c r="J25" s="209"/>
      <c r="K25" s="209"/>
      <c r="L25" s="209"/>
      <c r="M25" s="208"/>
      <c r="N25" s="208"/>
      <c r="O25" s="208"/>
    </row>
    <row r="26" spans="2:15" ht="16.5">
      <c r="B26" s="207">
        <v>44829</v>
      </c>
      <c r="C26" s="207">
        <v>44835</v>
      </c>
      <c r="D26" s="208">
        <v>12</v>
      </c>
      <c r="E26" s="218">
        <f t="shared" si="1"/>
        <v>0.6</v>
      </c>
      <c r="F26" s="219" t="str">
        <f t="shared" si="0"/>
        <v>||||||||||||</v>
      </c>
      <c r="G26" s="209"/>
      <c r="H26" s="209"/>
      <c r="I26" s="209"/>
      <c r="J26" s="209"/>
      <c r="K26" s="209"/>
      <c r="L26" s="209"/>
      <c r="M26" s="208"/>
      <c r="N26" s="208"/>
      <c r="O26" s="208"/>
    </row>
    <row r="27" spans="2:15" ht="16.5">
      <c r="B27" s="207">
        <v>44836</v>
      </c>
      <c r="C27" s="207">
        <v>44842</v>
      </c>
      <c r="D27" s="208">
        <v>4</v>
      </c>
      <c r="E27" s="218">
        <f t="shared" si="1"/>
        <v>0.2</v>
      </c>
      <c r="F27" s="219" t="str">
        <f t="shared" si="0"/>
        <v>||||</v>
      </c>
      <c r="G27" s="209"/>
      <c r="H27" s="209"/>
      <c r="I27" s="209"/>
      <c r="J27" s="209"/>
      <c r="K27" s="209"/>
      <c r="L27" s="209"/>
      <c r="M27" s="208"/>
      <c r="N27" s="208"/>
      <c r="O27" s="208"/>
    </row>
    <row r="28" spans="2:15" ht="16.5">
      <c r="B28" s="207">
        <v>44850</v>
      </c>
      <c r="C28" s="207">
        <v>44856</v>
      </c>
      <c r="D28" s="208">
        <v>2</v>
      </c>
      <c r="E28" s="218">
        <f t="shared" si="1"/>
        <v>0.1</v>
      </c>
      <c r="F28" s="219" t="str">
        <f t="shared" si="0"/>
        <v>||</v>
      </c>
      <c r="G28" s="209"/>
      <c r="H28" s="209"/>
      <c r="I28" s="209"/>
      <c r="J28" s="209"/>
      <c r="K28" s="209"/>
      <c r="L28" s="209"/>
      <c r="M28" s="208"/>
      <c r="N28" s="208"/>
      <c r="O28" s="208"/>
    </row>
    <row r="29" spans="2:15">
      <c r="C29" s="117" t="s">
        <v>1356</v>
      </c>
      <c r="D29" s="117">
        <f>SUM(D7:D28)</f>
        <v>294.8</v>
      </c>
      <c r="E29" s="215">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62" t="s">
        <v>1431</v>
      </c>
      <c r="B1" s="1"/>
      <c r="C1" s="1"/>
      <c r="D1" s="1"/>
      <c r="E1" s="1"/>
      <c r="F1" s="1"/>
      <c r="G1" s="1"/>
      <c r="H1" s="1"/>
    </row>
    <row r="2" spans="1:9" s="65" customFormat="1" ht="78.75" customHeight="1">
      <c r="A2" s="289" t="s">
        <v>1432</v>
      </c>
      <c r="B2" s="289"/>
      <c r="C2" s="289"/>
      <c r="D2" s="289"/>
      <c r="E2" s="289"/>
      <c r="F2" s="289"/>
      <c r="G2" s="289"/>
      <c r="H2" s="289"/>
    </row>
    <row r="3" spans="1:9" s="65" customFormat="1" ht="24.75" customHeight="1">
      <c r="A3" s="290" t="s">
        <v>1433</v>
      </c>
      <c r="B3" s="290"/>
      <c r="D3" s="290" t="s">
        <v>1434</v>
      </c>
      <c r="E3" s="290"/>
      <c r="G3" s="290" t="s">
        <v>1435</v>
      </c>
      <c r="H3" s="290"/>
    </row>
    <row r="4" spans="1:9" s="67" customFormat="1" ht="19.5" customHeight="1">
      <c r="A4" s="66" t="s">
        <v>1436</v>
      </c>
      <c r="B4" s="66" t="s">
        <v>1437</v>
      </c>
      <c r="D4" s="66" t="s">
        <v>1436</v>
      </c>
      <c r="E4" s="66" t="s">
        <v>1437</v>
      </c>
      <c r="G4" s="66" t="s">
        <v>1436</v>
      </c>
      <c r="H4" s="66" t="s">
        <v>1437</v>
      </c>
    </row>
    <row r="5" spans="1:9" s="79" customFormat="1" ht="16.5">
      <c r="A5" s="77" t="s">
        <v>1363</v>
      </c>
      <c r="B5" s="78">
        <v>44592</v>
      </c>
      <c r="C5" s="79" t="str">
        <f t="shared" ref="C5:C68" si="0">IF(B5&gt;0,TEXT(B5,"(aaa)"),"")</f>
        <v>(월)</v>
      </c>
      <c r="D5" s="80"/>
      <c r="E5" s="81"/>
      <c r="F5" s="79" t="str">
        <f t="shared" ref="F5:F68" si="1">IF(E5&gt;0,TEXT(E5,"(aaa)"),"")</f>
        <v/>
      </c>
      <c r="G5" s="80"/>
      <c r="H5" s="81"/>
      <c r="I5" s="79" t="str">
        <f t="shared" ref="I5:I68" si="2">IF(H5&gt;0,TEXT(H5,"(aaa)"),"")</f>
        <v/>
      </c>
    </row>
    <row r="6" spans="1:9" s="79" customFormat="1" ht="16.5">
      <c r="A6" s="77" t="s">
        <v>1364</v>
      </c>
      <c r="B6" s="78">
        <v>44593</v>
      </c>
      <c r="C6" s="79" t="str">
        <f t="shared" si="0"/>
        <v>(화)</v>
      </c>
      <c r="D6" s="80"/>
      <c r="E6" s="81"/>
      <c r="F6" s="79" t="str">
        <f t="shared" si="1"/>
        <v/>
      </c>
      <c r="G6" s="80"/>
      <c r="H6" s="81"/>
      <c r="I6" s="79" t="str">
        <f t="shared" si="2"/>
        <v/>
      </c>
    </row>
    <row r="7" spans="1:9" s="79" customFormat="1" ht="16.5">
      <c r="A7" s="80" t="s">
        <v>1363</v>
      </c>
      <c r="B7" s="78">
        <v>44594</v>
      </c>
      <c r="C7" s="79" t="str">
        <f t="shared" si="0"/>
        <v>(수)</v>
      </c>
      <c r="D7" s="80"/>
      <c r="E7" s="81"/>
      <c r="F7" s="79" t="str">
        <f t="shared" si="1"/>
        <v/>
      </c>
      <c r="G7" s="80"/>
      <c r="H7" s="81"/>
      <c r="I7" s="79" t="str">
        <f t="shared" si="2"/>
        <v/>
      </c>
    </row>
    <row r="8" spans="1:9" s="79" customFormat="1" ht="16.5">
      <c r="A8" s="77" t="s">
        <v>1365</v>
      </c>
      <c r="B8" s="78">
        <v>44621</v>
      </c>
      <c r="C8" s="79" t="str">
        <f t="shared" si="0"/>
        <v>(화)</v>
      </c>
      <c r="D8" s="80"/>
      <c r="E8" s="81"/>
      <c r="F8" s="79" t="str">
        <f t="shared" si="1"/>
        <v/>
      </c>
      <c r="G8" s="80"/>
      <c r="H8" s="81"/>
      <c r="I8" s="79" t="str">
        <f t="shared" si="2"/>
        <v/>
      </c>
    </row>
    <row r="9" spans="1:9" s="79" customFormat="1" ht="16.5">
      <c r="A9" s="77" t="s">
        <v>1366</v>
      </c>
      <c r="B9" s="78">
        <v>44629</v>
      </c>
      <c r="C9" s="79" t="str">
        <f t="shared" si="0"/>
        <v>(수)</v>
      </c>
      <c r="D9" s="80"/>
      <c r="E9" s="81"/>
      <c r="F9" s="79" t="str">
        <f t="shared" si="1"/>
        <v/>
      </c>
      <c r="G9" s="80"/>
      <c r="H9" s="81"/>
      <c r="I9" s="79" t="str">
        <f t="shared" si="2"/>
        <v/>
      </c>
    </row>
    <row r="10" spans="1:9" s="79" customFormat="1" ht="16.5">
      <c r="A10" s="80" t="s">
        <v>1367</v>
      </c>
      <c r="B10" s="78">
        <v>44686</v>
      </c>
      <c r="C10" s="79" t="str">
        <f t="shared" si="0"/>
        <v>(목)</v>
      </c>
      <c r="D10" s="80"/>
      <c r="E10" s="81"/>
      <c r="F10" s="79" t="str">
        <f t="shared" si="1"/>
        <v/>
      </c>
      <c r="G10" s="80"/>
      <c r="H10" s="81"/>
      <c r="I10" s="79" t="str">
        <f t="shared" si="2"/>
        <v/>
      </c>
    </row>
    <row r="11" spans="1:9" s="79" customFormat="1" ht="16.5">
      <c r="A11" s="77" t="s">
        <v>1368</v>
      </c>
      <c r="B11" s="78">
        <v>44713</v>
      </c>
      <c r="C11" s="79" t="str">
        <f t="shared" si="0"/>
        <v>(수)</v>
      </c>
      <c r="D11" s="80"/>
      <c r="E11" s="81"/>
      <c r="F11" s="79" t="str">
        <f t="shared" si="1"/>
        <v/>
      </c>
      <c r="G11" s="80"/>
      <c r="H11" s="81"/>
      <c r="I11" s="79" t="str">
        <f t="shared" si="2"/>
        <v/>
      </c>
    </row>
    <row r="12" spans="1:9" s="79" customFormat="1" ht="16.5">
      <c r="A12" s="80" t="s">
        <v>1369</v>
      </c>
      <c r="B12" s="78">
        <v>44718</v>
      </c>
      <c r="C12" s="79" t="str">
        <f t="shared" si="0"/>
        <v>(월)</v>
      </c>
      <c r="D12" s="80"/>
      <c r="E12" s="81"/>
      <c r="F12" s="79" t="str">
        <f t="shared" si="1"/>
        <v/>
      </c>
      <c r="G12" s="80"/>
      <c r="H12" s="81"/>
      <c r="I12" s="79" t="str">
        <f t="shared" si="2"/>
        <v/>
      </c>
    </row>
    <row r="13" spans="1:9" s="79" customFormat="1" ht="16.5">
      <c r="A13" s="80" t="s">
        <v>1370</v>
      </c>
      <c r="B13" s="78">
        <v>44788</v>
      </c>
      <c r="C13" s="79" t="str">
        <f t="shared" si="0"/>
        <v>(월)</v>
      </c>
      <c r="D13" s="80"/>
      <c r="E13" s="81"/>
      <c r="F13" s="79" t="str">
        <f t="shared" si="1"/>
        <v/>
      </c>
      <c r="G13" s="80"/>
      <c r="H13" s="81"/>
      <c r="I13" s="79" t="str">
        <f t="shared" si="2"/>
        <v/>
      </c>
    </row>
    <row r="14" spans="1:9" s="79" customFormat="1" ht="16.5">
      <c r="A14" s="80" t="s">
        <v>1371</v>
      </c>
      <c r="B14" s="78">
        <v>44813</v>
      </c>
      <c r="C14" s="79" t="str">
        <f t="shared" si="0"/>
        <v>(금)</v>
      </c>
      <c r="D14" s="80"/>
      <c r="E14" s="81"/>
      <c r="F14" s="79" t="str">
        <f t="shared" si="1"/>
        <v/>
      </c>
      <c r="G14" s="80"/>
      <c r="H14" s="81"/>
      <c r="I14" s="79" t="str">
        <f t="shared" si="2"/>
        <v/>
      </c>
    </row>
    <row r="15" spans="1:9" s="79" customFormat="1" ht="16.5">
      <c r="A15" s="80" t="s">
        <v>1372</v>
      </c>
      <c r="B15" s="78">
        <v>44816</v>
      </c>
      <c r="C15" s="79" t="str">
        <f t="shared" si="0"/>
        <v>(월)</v>
      </c>
      <c r="D15" s="80"/>
      <c r="E15" s="81"/>
      <c r="F15" s="79" t="str">
        <f t="shared" si="1"/>
        <v/>
      </c>
      <c r="G15" s="80"/>
      <c r="H15" s="81"/>
      <c r="I15" s="79" t="str">
        <f t="shared" si="2"/>
        <v/>
      </c>
    </row>
    <row r="16" spans="1:9" s="79" customFormat="1" ht="16.5">
      <c r="A16" s="80" t="s">
        <v>1373</v>
      </c>
      <c r="B16" s="78">
        <v>44837</v>
      </c>
      <c r="C16" s="79" t="str">
        <f t="shared" si="0"/>
        <v>(월)</v>
      </c>
      <c r="D16" s="80"/>
      <c r="E16" s="81"/>
      <c r="F16" s="79" t="str">
        <f t="shared" si="1"/>
        <v/>
      </c>
      <c r="G16" s="80"/>
      <c r="H16" s="81"/>
      <c r="I16" s="79" t="str">
        <f t="shared" si="2"/>
        <v/>
      </c>
    </row>
    <row r="17" spans="1:10" s="79" customFormat="1" ht="16.5">
      <c r="A17" s="80" t="s">
        <v>1374</v>
      </c>
      <c r="B17" s="78">
        <v>44844</v>
      </c>
      <c r="C17" s="79" t="str">
        <f t="shared" si="0"/>
        <v>(월)</v>
      </c>
      <c r="D17" s="80"/>
      <c r="E17" s="81"/>
      <c r="F17" s="79" t="str">
        <f t="shared" si="1"/>
        <v/>
      </c>
      <c r="G17" s="80"/>
      <c r="H17" s="81"/>
      <c r="I17" s="79" t="str">
        <f t="shared" si="2"/>
        <v/>
      </c>
    </row>
    <row r="18" spans="1:10" s="79" customFormat="1" ht="16.5">
      <c r="A18" s="80"/>
      <c r="B18" s="78"/>
      <c r="C18" s="79" t="str">
        <f t="shared" si="0"/>
        <v/>
      </c>
      <c r="D18" s="80"/>
      <c r="E18" s="81"/>
      <c r="F18" s="79" t="str">
        <f t="shared" si="1"/>
        <v/>
      </c>
      <c r="G18" s="80"/>
      <c r="H18" s="81"/>
      <c r="I18" s="79" t="str">
        <f t="shared" si="2"/>
        <v/>
      </c>
    </row>
    <row r="19" spans="1:10" s="79" customFormat="1" ht="17.25">
      <c r="A19" s="80"/>
      <c r="B19" s="78"/>
      <c r="C19" s="79" t="str">
        <f t="shared" si="0"/>
        <v/>
      </c>
      <c r="D19" s="80"/>
      <c r="E19" s="81"/>
      <c r="F19" s="79" t="str">
        <f t="shared" si="1"/>
        <v/>
      </c>
      <c r="G19" s="80"/>
      <c r="H19" s="81"/>
      <c r="I19" s="79" t="str">
        <f t="shared" si="2"/>
        <v/>
      </c>
      <c r="J19" s="82"/>
    </row>
    <row r="20" spans="1:10" s="79" customFormat="1" ht="17.25">
      <c r="A20" s="80"/>
      <c r="B20" s="78"/>
      <c r="C20" s="79" t="str">
        <f t="shared" si="0"/>
        <v/>
      </c>
      <c r="D20" s="80"/>
      <c r="E20" s="81"/>
      <c r="F20" s="79" t="str">
        <f t="shared" si="1"/>
        <v/>
      </c>
      <c r="G20" s="80"/>
      <c r="H20" s="81"/>
      <c r="I20" s="79" t="str">
        <f t="shared" si="2"/>
        <v/>
      </c>
      <c r="J20" s="82"/>
    </row>
    <row r="21" spans="1:10" s="79" customFormat="1" ht="16.5">
      <c r="A21" s="77"/>
      <c r="B21" s="78"/>
      <c r="C21" s="79" t="str">
        <f t="shared" si="0"/>
        <v/>
      </c>
      <c r="D21" s="80"/>
      <c r="E21" s="81"/>
      <c r="F21" s="79" t="str">
        <f t="shared" si="1"/>
        <v/>
      </c>
      <c r="G21" s="80"/>
      <c r="H21" s="81"/>
      <c r="I21" s="79" t="str">
        <f t="shared" si="2"/>
        <v/>
      </c>
    </row>
    <row r="22" spans="1:10" s="79" customFormat="1" ht="16.5">
      <c r="A22" s="77"/>
      <c r="B22" s="78"/>
      <c r="C22" s="79" t="str">
        <f t="shared" si="0"/>
        <v/>
      </c>
      <c r="D22" s="80"/>
      <c r="E22" s="81"/>
      <c r="F22" s="79" t="str">
        <f t="shared" si="1"/>
        <v/>
      </c>
      <c r="G22" s="80"/>
      <c r="H22" s="81"/>
      <c r="I22" s="79" t="str">
        <f t="shared" si="2"/>
        <v/>
      </c>
    </row>
    <row r="23" spans="1:10" s="79" customFormat="1" ht="16.5">
      <c r="A23" s="77"/>
      <c r="B23" s="78"/>
      <c r="C23" s="79" t="str">
        <f t="shared" si="0"/>
        <v/>
      </c>
      <c r="D23" s="80"/>
      <c r="E23" s="81"/>
      <c r="F23" s="79" t="str">
        <f t="shared" si="1"/>
        <v/>
      </c>
      <c r="G23" s="80"/>
      <c r="H23" s="81"/>
      <c r="I23" s="79" t="str">
        <f t="shared" si="2"/>
        <v/>
      </c>
    </row>
    <row r="24" spans="1:10" s="79" customFormat="1" ht="16.5">
      <c r="A24" s="77"/>
      <c r="B24" s="78"/>
      <c r="C24" s="79" t="str">
        <f t="shared" si="0"/>
        <v/>
      </c>
      <c r="D24" s="80"/>
      <c r="E24" s="81"/>
      <c r="F24" s="79" t="str">
        <f t="shared" si="1"/>
        <v/>
      </c>
      <c r="G24" s="80"/>
      <c r="H24" s="81"/>
      <c r="I24" s="79" t="str">
        <f t="shared" si="2"/>
        <v/>
      </c>
    </row>
    <row r="25" spans="1:10" s="79" customFormat="1" ht="16.5">
      <c r="A25" s="77"/>
      <c r="B25" s="78"/>
      <c r="C25" s="79" t="str">
        <f t="shared" si="0"/>
        <v/>
      </c>
      <c r="D25" s="80"/>
      <c r="E25" s="81"/>
      <c r="F25" s="79" t="str">
        <f t="shared" si="1"/>
        <v/>
      </c>
      <c r="G25" s="80"/>
      <c r="H25" s="81"/>
      <c r="I25" s="79" t="str">
        <f t="shared" si="2"/>
        <v/>
      </c>
    </row>
    <row r="26" spans="1:10" s="79" customFormat="1" ht="16.5">
      <c r="A26" s="77"/>
      <c r="B26" s="78"/>
      <c r="C26" s="79" t="str">
        <f t="shared" si="0"/>
        <v/>
      </c>
      <c r="D26" s="80"/>
      <c r="E26" s="81"/>
      <c r="F26" s="79" t="str">
        <f t="shared" si="1"/>
        <v/>
      </c>
      <c r="G26" s="80"/>
      <c r="H26" s="81"/>
      <c r="I26" s="79" t="str">
        <f t="shared" si="2"/>
        <v/>
      </c>
    </row>
    <row r="27" spans="1:10" s="79" customFormat="1" ht="16.5">
      <c r="A27" s="77"/>
      <c r="B27" s="78"/>
      <c r="C27" s="79" t="str">
        <f t="shared" si="0"/>
        <v/>
      </c>
      <c r="D27" s="80"/>
      <c r="E27" s="81"/>
      <c r="F27" s="79" t="str">
        <f t="shared" si="1"/>
        <v/>
      </c>
      <c r="G27" s="80"/>
      <c r="H27" s="81"/>
      <c r="I27" s="79" t="str">
        <f t="shared" si="2"/>
        <v/>
      </c>
    </row>
    <row r="28" spans="1:10" s="79" customFormat="1" ht="16.5">
      <c r="A28" s="77"/>
      <c r="B28" s="78"/>
      <c r="C28" s="79" t="str">
        <f t="shared" si="0"/>
        <v/>
      </c>
      <c r="D28" s="80"/>
      <c r="E28" s="81"/>
      <c r="F28" s="79" t="str">
        <f t="shared" si="1"/>
        <v/>
      </c>
      <c r="G28" s="80"/>
      <c r="H28" s="81"/>
      <c r="I28" s="79" t="str">
        <f t="shared" si="2"/>
        <v/>
      </c>
    </row>
    <row r="29" spans="1:10" s="79" customFormat="1" ht="16.5">
      <c r="A29" s="77"/>
      <c r="B29" s="78"/>
      <c r="C29" s="79" t="str">
        <f t="shared" si="0"/>
        <v/>
      </c>
      <c r="D29" s="80"/>
      <c r="E29" s="81"/>
      <c r="F29" s="79" t="str">
        <f t="shared" si="1"/>
        <v/>
      </c>
      <c r="G29" s="80"/>
      <c r="H29" s="81"/>
      <c r="I29" s="79" t="str">
        <f t="shared" si="2"/>
        <v/>
      </c>
    </row>
    <row r="30" spans="1:10" s="79" customFormat="1" ht="16.5">
      <c r="A30" s="77"/>
      <c r="B30" s="78"/>
      <c r="C30" s="79" t="str">
        <f t="shared" si="0"/>
        <v/>
      </c>
      <c r="D30" s="80"/>
      <c r="E30" s="81"/>
      <c r="F30" s="79" t="str">
        <f t="shared" si="1"/>
        <v/>
      </c>
      <c r="G30" s="80"/>
      <c r="H30" s="81"/>
      <c r="I30" s="79" t="str">
        <f t="shared" si="2"/>
        <v/>
      </c>
    </row>
    <row r="31" spans="1:10" s="79" customFormat="1" ht="16.5">
      <c r="A31" s="77"/>
      <c r="B31" s="78"/>
      <c r="C31" s="79" t="str">
        <f t="shared" si="0"/>
        <v/>
      </c>
      <c r="D31" s="80"/>
      <c r="E31" s="81"/>
      <c r="F31" s="79" t="str">
        <f t="shared" si="1"/>
        <v/>
      </c>
      <c r="G31" s="80"/>
      <c r="H31" s="81"/>
      <c r="I31" s="79" t="str">
        <f t="shared" si="2"/>
        <v/>
      </c>
    </row>
    <row r="32" spans="1:10" s="79" customFormat="1" ht="16.5">
      <c r="A32" s="77"/>
      <c r="B32" s="78"/>
      <c r="C32" s="79" t="str">
        <f t="shared" si="0"/>
        <v/>
      </c>
      <c r="D32" s="80"/>
      <c r="E32" s="81"/>
      <c r="F32" s="79" t="str">
        <f t="shared" si="1"/>
        <v/>
      </c>
      <c r="G32" s="80"/>
      <c r="H32" s="81"/>
      <c r="I32" s="79" t="str">
        <f t="shared" si="2"/>
        <v/>
      </c>
    </row>
    <row r="33" spans="1:9" s="79" customFormat="1" ht="16.5">
      <c r="A33" s="77"/>
      <c r="B33" s="78"/>
      <c r="C33" s="79" t="str">
        <f t="shared" si="0"/>
        <v/>
      </c>
      <c r="D33" s="80"/>
      <c r="E33" s="81"/>
      <c r="F33" s="79" t="str">
        <f t="shared" si="1"/>
        <v/>
      </c>
      <c r="G33" s="80"/>
      <c r="H33" s="81"/>
      <c r="I33" s="79" t="str">
        <f t="shared" si="2"/>
        <v/>
      </c>
    </row>
    <row r="34" spans="1:9" s="79" customFormat="1" ht="16.5">
      <c r="A34" s="77"/>
      <c r="B34" s="78"/>
      <c r="C34" s="79" t="str">
        <f t="shared" si="0"/>
        <v/>
      </c>
      <c r="D34" s="80"/>
      <c r="E34" s="81"/>
      <c r="F34" s="79" t="str">
        <f t="shared" si="1"/>
        <v/>
      </c>
      <c r="G34" s="80"/>
      <c r="H34" s="81"/>
      <c r="I34" s="79" t="str">
        <f t="shared" si="2"/>
        <v/>
      </c>
    </row>
    <row r="35" spans="1:9" s="79" customFormat="1" ht="16.5">
      <c r="A35" s="77"/>
      <c r="B35" s="78"/>
      <c r="C35" s="79" t="str">
        <f t="shared" si="0"/>
        <v/>
      </c>
      <c r="D35" s="80"/>
      <c r="E35" s="81"/>
      <c r="F35" s="79" t="str">
        <f t="shared" si="1"/>
        <v/>
      </c>
      <c r="G35" s="80"/>
      <c r="H35" s="81"/>
      <c r="I35" s="79" t="str">
        <f t="shared" si="2"/>
        <v/>
      </c>
    </row>
    <row r="36" spans="1:9" s="79" customFormat="1" ht="16.5">
      <c r="A36" s="77"/>
      <c r="B36" s="78"/>
      <c r="C36" s="79" t="str">
        <f t="shared" si="0"/>
        <v/>
      </c>
      <c r="D36" s="80"/>
      <c r="E36" s="81"/>
      <c r="F36" s="79" t="str">
        <f t="shared" si="1"/>
        <v/>
      </c>
      <c r="G36" s="80"/>
      <c r="H36" s="81"/>
      <c r="I36" s="79" t="str">
        <f t="shared" si="2"/>
        <v/>
      </c>
    </row>
    <row r="37" spans="1:9" s="79" customFormat="1" ht="16.5">
      <c r="A37" s="77"/>
      <c r="B37" s="78"/>
      <c r="C37" s="79" t="str">
        <f t="shared" si="0"/>
        <v/>
      </c>
      <c r="D37" s="80"/>
      <c r="E37" s="81"/>
      <c r="F37" s="79" t="str">
        <f t="shared" si="1"/>
        <v/>
      </c>
      <c r="G37" s="80"/>
      <c r="H37" s="81"/>
      <c r="I37" s="79" t="str">
        <f t="shared" si="2"/>
        <v/>
      </c>
    </row>
    <row r="38" spans="1:9" s="79" customFormat="1" ht="16.5">
      <c r="A38" s="77"/>
      <c r="B38" s="78"/>
      <c r="C38" s="79" t="str">
        <f t="shared" si="0"/>
        <v/>
      </c>
      <c r="D38" s="80"/>
      <c r="E38" s="81"/>
      <c r="F38" s="79" t="str">
        <f t="shared" si="1"/>
        <v/>
      </c>
      <c r="G38" s="80"/>
      <c r="H38" s="81"/>
      <c r="I38" s="79" t="str">
        <f t="shared" si="2"/>
        <v/>
      </c>
    </row>
    <row r="39" spans="1:9" s="79" customFormat="1" ht="16.5">
      <c r="A39" s="77"/>
      <c r="B39" s="78"/>
      <c r="C39" s="79" t="str">
        <f t="shared" si="0"/>
        <v/>
      </c>
      <c r="D39" s="80"/>
      <c r="E39" s="81"/>
      <c r="F39" s="79" t="str">
        <f t="shared" si="1"/>
        <v/>
      </c>
      <c r="G39" s="80"/>
      <c r="H39" s="81"/>
      <c r="I39" s="79" t="str">
        <f t="shared" si="2"/>
        <v/>
      </c>
    </row>
    <row r="40" spans="1:9" s="79" customFormat="1" ht="16.5">
      <c r="A40" s="77"/>
      <c r="B40" s="78"/>
      <c r="C40" s="79" t="str">
        <f t="shared" si="0"/>
        <v/>
      </c>
      <c r="D40" s="80"/>
      <c r="E40" s="81"/>
      <c r="F40" s="79" t="str">
        <f t="shared" si="1"/>
        <v/>
      </c>
      <c r="G40" s="80"/>
      <c r="H40" s="81"/>
      <c r="I40" s="79" t="str">
        <f t="shared" si="2"/>
        <v/>
      </c>
    </row>
    <row r="41" spans="1:9" s="79" customFormat="1" ht="16.5">
      <c r="A41" s="77"/>
      <c r="B41" s="78"/>
      <c r="C41" s="79" t="str">
        <f t="shared" si="0"/>
        <v/>
      </c>
      <c r="D41" s="80"/>
      <c r="E41" s="81"/>
      <c r="F41" s="79" t="str">
        <f t="shared" si="1"/>
        <v/>
      </c>
      <c r="G41" s="80"/>
      <c r="H41" s="81"/>
      <c r="I41" s="79" t="str">
        <f t="shared" si="2"/>
        <v/>
      </c>
    </row>
    <row r="42" spans="1:9" s="79" customFormat="1" ht="16.5">
      <c r="A42" s="77"/>
      <c r="B42" s="78"/>
      <c r="C42" s="79" t="str">
        <f t="shared" si="0"/>
        <v/>
      </c>
      <c r="D42" s="80"/>
      <c r="E42" s="81"/>
      <c r="F42" s="79" t="str">
        <f t="shared" si="1"/>
        <v/>
      </c>
      <c r="G42" s="80"/>
      <c r="H42" s="81"/>
      <c r="I42" s="79" t="str">
        <f t="shared" si="2"/>
        <v/>
      </c>
    </row>
    <row r="43" spans="1:9" s="79" customFormat="1" ht="16.5">
      <c r="A43" s="77"/>
      <c r="B43" s="78"/>
      <c r="C43" s="79" t="str">
        <f t="shared" si="0"/>
        <v/>
      </c>
      <c r="D43" s="80"/>
      <c r="E43" s="81"/>
      <c r="F43" s="79" t="str">
        <f t="shared" si="1"/>
        <v/>
      </c>
      <c r="G43" s="80"/>
      <c r="H43" s="81"/>
      <c r="I43" s="79" t="str">
        <f t="shared" si="2"/>
        <v/>
      </c>
    </row>
    <row r="44" spans="1:9" s="79" customFormat="1" ht="16.5">
      <c r="A44" s="77"/>
      <c r="B44" s="78"/>
      <c r="C44" s="79" t="str">
        <f t="shared" si="0"/>
        <v/>
      </c>
      <c r="D44" s="80"/>
      <c r="E44" s="81"/>
      <c r="F44" s="79" t="str">
        <f t="shared" si="1"/>
        <v/>
      </c>
      <c r="G44" s="80"/>
      <c r="H44" s="81"/>
      <c r="I44" s="79" t="str">
        <f t="shared" si="2"/>
        <v/>
      </c>
    </row>
    <row r="45" spans="1:9" s="79" customFormat="1" ht="16.5">
      <c r="A45" s="77"/>
      <c r="B45" s="78"/>
      <c r="C45" s="79" t="str">
        <f t="shared" si="0"/>
        <v/>
      </c>
      <c r="D45" s="80"/>
      <c r="E45" s="81"/>
      <c r="F45" s="79" t="str">
        <f t="shared" si="1"/>
        <v/>
      </c>
      <c r="G45" s="80"/>
      <c r="H45" s="81"/>
      <c r="I45" s="79" t="str">
        <f t="shared" si="2"/>
        <v/>
      </c>
    </row>
    <row r="46" spans="1:9" s="79" customFormat="1" ht="16.5">
      <c r="A46" s="77"/>
      <c r="B46" s="78"/>
      <c r="C46" s="79" t="str">
        <f t="shared" si="0"/>
        <v/>
      </c>
      <c r="D46" s="80"/>
      <c r="E46" s="81"/>
      <c r="F46" s="79" t="str">
        <f t="shared" si="1"/>
        <v/>
      </c>
      <c r="G46" s="80"/>
      <c r="H46" s="81"/>
      <c r="I46" s="79" t="str">
        <f t="shared" si="2"/>
        <v/>
      </c>
    </row>
    <row r="47" spans="1:9" s="79" customFormat="1" ht="16.5">
      <c r="A47" s="77"/>
      <c r="B47" s="78"/>
      <c r="C47" s="79" t="str">
        <f t="shared" si="0"/>
        <v/>
      </c>
      <c r="D47" s="80"/>
      <c r="E47" s="81"/>
      <c r="F47" s="79" t="str">
        <f t="shared" si="1"/>
        <v/>
      </c>
      <c r="G47" s="80"/>
      <c r="H47" s="81"/>
      <c r="I47" s="79" t="str">
        <f t="shared" si="2"/>
        <v/>
      </c>
    </row>
    <row r="48" spans="1:9" s="79" customFormat="1" ht="16.5">
      <c r="A48" s="77"/>
      <c r="B48" s="78"/>
      <c r="C48" s="79" t="str">
        <f t="shared" si="0"/>
        <v/>
      </c>
      <c r="D48" s="80"/>
      <c r="E48" s="81"/>
      <c r="F48" s="79" t="str">
        <f t="shared" si="1"/>
        <v/>
      </c>
      <c r="G48" s="80"/>
      <c r="H48" s="81"/>
      <c r="I48" s="79" t="str">
        <f t="shared" si="2"/>
        <v/>
      </c>
    </row>
    <row r="49" spans="1:9" s="79" customFormat="1" ht="16.5">
      <c r="A49" s="77"/>
      <c r="B49" s="78"/>
      <c r="C49" s="79" t="str">
        <f t="shared" si="0"/>
        <v/>
      </c>
      <c r="D49" s="80"/>
      <c r="E49" s="81"/>
      <c r="F49" s="79" t="str">
        <f t="shared" si="1"/>
        <v/>
      </c>
      <c r="G49" s="80"/>
      <c r="H49" s="81"/>
      <c r="I49" s="79" t="str">
        <f t="shared" si="2"/>
        <v/>
      </c>
    </row>
    <row r="50" spans="1:9" s="79" customFormat="1" ht="16.5">
      <c r="A50" s="77"/>
      <c r="B50" s="78"/>
      <c r="C50" s="79" t="str">
        <f t="shared" si="0"/>
        <v/>
      </c>
      <c r="D50" s="80"/>
      <c r="E50" s="81"/>
      <c r="F50" s="79" t="str">
        <f t="shared" si="1"/>
        <v/>
      </c>
      <c r="G50" s="80"/>
      <c r="H50" s="81"/>
      <c r="I50" s="79" t="str">
        <f t="shared" si="2"/>
        <v/>
      </c>
    </row>
    <row r="51" spans="1:9" s="79" customFormat="1" ht="16.5">
      <c r="A51" s="77"/>
      <c r="B51" s="78"/>
      <c r="C51" s="79" t="str">
        <f t="shared" si="0"/>
        <v/>
      </c>
      <c r="D51" s="80"/>
      <c r="E51" s="81"/>
      <c r="F51" s="79" t="str">
        <f t="shared" si="1"/>
        <v/>
      </c>
      <c r="G51" s="80"/>
      <c r="H51" s="81"/>
      <c r="I51" s="79" t="str">
        <f t="shared" si="2"/>
        <v/>
      </c>
    </row>
    <row r="52" spans="1:9" s="79" customFormat="1" ht="16.5">
      <c r="A52" s="77"/>
      <c r="B52" s="78"/>
      <c r="C52" s="79" t="str">
        <f t="shared" si="0"/>
        <v/>
      </c>
      <c r="D52" s="80"/>
      <c r="E52" s="81"/>
      <c r="F52" s="79" t="str">
        <f t="shared" si="1"/>
        <v/>
      </c>
      <c r="G52" s="80"/>
      <c r="H52" s="81"/>
      <c r="I52" s="79" t="str">
        <f t="shared" si="2"/>
        <v/>
      </c>
    </row>
    <row r="53" spans="1:9" s="79" customFormat="1" ht="16.5">
      <c r="A53" s="77"/>
      <c r="B53" s="78"/>
      <c r="C53" s="79" t="str">
        <f t="shared" si="0"/>
        <v/>
      </c>
      <c r="D53" s="80"/>
      <c r="E53" s="81"/>
      <c r="F53" s="79" t="str">
        <f t="shared" si="1"/>
        <v/>
      </c>
      <c r="G53" s="80"/>
      <c r="H53" s="81"/>
      <c r="I53" s="79" t="str">
        <f t="shared" si="2"/>
        <v/>
      </c>
    </row>
    <row r="54" spans="1:9" s="79" customFormat="1" ht="16.5">
      <c r="A54" s="77"/>
      <c r="B54" s="78"/>
      <c r="C54" s="79" t="str">
        <f t="shared" si="0"/>
        <v/>
      </c>
      <c r="D54" s="80"/>
      <c r="E54" s="81"/>
      <c r="F54" s="79" t="str">
        <f t="shared" si="1"/>
        <v/>
      </c>
      <c r="G54" s="80"/>
      <c r="H54" s="81"/>
      <c r="I54" s="79" t="str">
        <f t="shared" si="2"/>
        <v/>
      </c>
    </row>
    <row r="55" spans="1:9" s="79" customFormat="1" ht="16.5">
      <c r="A55" s="77"/>
      <c r="B55" s="78"/>
      <c r="C55" s="79" t="str">
        <f t="shared" si="0"/>
        <v/>
      </c>
      <c r="D55" s="80"/>
      <c r="E55" s="81"/>
      <c r="F55" s="79" t="str">
        <f t="shared" si="1"/>
        <v/>
      </c>
      <c r="G55" s="80"/>
      <c r="H55" s="81"/>
      <c r="I55" s="79" t="str">
        <f t="shared" si="2"/>
        <v/>
      </c>
    </row>
    <row r="56" spans="1:9" s="79" customFormat="1" ht="16.5">
      <c r="A56" s="77"/>
      <c r="B56" s="78"/>
      <c r="C56" s="79" t="str">
        <f t="shared" si="0"/>
        <v/>
      </c>
      <c r="D56" s="80"/>
      <c r="E56" s="81"/>
      <c r="F56" s="79" t="str">
        <f t="shared" si="1"/>
        <v/>
      </c>
      <c r="G56" s="80"/>
      <c r="H56" s="81"/>
      <c r="I56" s="79" t="str">
        <f t="shared" si="2"/>
        <v/>
      </c>
    </row>
    <row r="57" spans="1:9" s="79" customFormat="1" ht="16.5">
      <c r="A57" s="77"/>
      <c r="B57" s="78"/>
      <c r="C57" s="79" t="str">
        <f t="shared" si="0"/>
        <v/>
      </c>
      <c r="D57" s="80"/>
      <c r="E57" s="81"/>
      <c r="F57" s="79" t="str">
        <f t="shared" si="1"/>
        <v/>
      </c>
      <c r="G57" s="80"/>
      <c r="H57" s="81"/>
      <c r="I57" s="79" t="str">
        <f t="shared" si="2"/>
        <v/>
      </c>
    </row>
    <row r="58" spans="1:9" s="79" customFormat="1" ht="16.5">
      <c r="A58" s="77"/>
      <c r="B58" s="78"/>
      <c r="C58" s="79" t="str">
        <f t="shared" si="0"/>
        <v/>
      </c>
      <c r="D58" s="80"/>
      <c r="E58" s="81"/>
      <c r="F58" s="79" t="str">
        <f t="shared" si="1"/>
        <v/>
      </c>
      <c r="G58" s="80"/>
      <c r="H58" s="81"/>
      <c r="I58" s="79" t="str">
        <f t="shared" si="2"/>
        <v/>
      </c>
    </row>
    <row r="59" spans="1:9" s="79" customFormat="1" ht="16.5">
      <c r="A59" s="77"/>
      <c r="B59" s="78"/>
      <c r="C59" s="79" t="str">
        <f t="shared" si="0"/>
        <v/>
      </c>
      <c r="D59" s="80"/>
      <c r="E59" s="81"/>
      <c r="F59" s="79" t="str">
        <f t="shared" si="1"/>
        <v/>
      </c>
      <c r="G59" s="80"/>
      <c r="H59" s="81"/>
      <c r="I59" s="79" t="str">
        <f t="shared" si="2"/>
        <v/>
      </c>
    </row>
    <row r="60" spans="1:9" s="79" customFormat="1" ht="16.5">
      <c r="A60" s="77"/>
      <c r="B60" s="78"/>
      <c r="C60" s="79" t="str">
        <f t="shared" si="0"/>
        <v/>
      </c>
      <c r="D60" s="80"/>
      <c r="E60" s="81"/>
      <c r="F60" s="79" t="str">
        <f t="shared" si="1"/>
        <v/>
      </c>
      <c r="G60" s="80"/>
      <c r="H60" s="81"/>
      <c r="I60" s="79" t="str">
        <f t="shared" si="2"/>
        <v/>
      </c>
    </row>
    <row r="61" spans="1:9" s="79" customFormat="1" ht="16.5">
      <c r="A61" s="77"/>
      <c r="B61" s="78"/>
      <c r="C61" s="79" t="str">
        <f t="shared" si="0"/>
        <v/>
      </c>
      <c r="D61" s="80"/>
      <c r="E61" s="81"/>
      <c r="F61" s="79" t="str">
        <f t="shared" si="1"/>
        <v/>
      </c>
      <c r="G61" s="80"/>
      <c r="H61" s="81"/>
      <c r="I61" s="79" t="str">
        <f t="shared" si="2"/>
        <v/>
      </c>
    </row>
    <row r="62" spans="1:9" s="79" customFormat="1" ht="16.5">
      <c r="A62" s="77"/>
      <c r="B62" s="78"/>
      <c r="C62" s="79" t="str">
        <f t="shared" si="0"/>
        <v/>
      </c>
      <c r="D62" s="80"/>
      <c r="E62" s="81"/>
      <c r="F62" s="79" t="str">
        <f t="shared" si="1"/>
        <v/>
      </c>
      <c r="G62" s="80"/>
      <c r="H62" s="81"/>
      <c r="I62" s="79" t="str">
        <f t="shared" si="2"/>
        <v/>
      </c>
    </row>
    <row r="63" spans="1:9" s="79" customFormat="1" ht="16.5">
      <c r="A63" s="77"/>
      <c r="B63" s="78"/>
      <c r="C63" s="79" t="str">
        <f t="shared" si="0"/>
        <v/>
      </c>
      <c r="D63" s="80"/>
      <c r="E63" s="81"/>
      <c r="F63" s="79" t="str">
        <f t="shared" si="1"/>
        <v/>
      </c>
      <c r="G63" s="80"/>
      <c r="H63" s="81"/>
      <c r="I63" s="79" t="str">
        <f t="shared" si="2"/>
        <v/>
      </c>
    </row>
    <row r="64" spans="1:9" s="79" customFormat="1" ht="16.5">
      <c r="A64" s="77"/>
      <c r="B64" s="78"/>
      <c r="C64" s="79" t="str">
        <f t="shared" si="0"/>
        <v/>
      </c>
      <c r="D64" s="80"/>
      <c r="E64" s="81"/>
      <c r="F64" s="79" t="str">
        <f t="shared" si="1"/>
        <v/>
      </c>
      <c r="G64" s="80"/>
      <c r="H64" s="81"/>
      <c r="I64" s="79" t="str">
        <f t="shared" si="2"/>
        <v/>
      </c>
    </row>
    <row r="65" spans="1:9" s="79" customFormat="1" ht="16.5">
      <c r="A65" s="77"/>
      <c r="B65" s="78"/>
      <c r="C65" s="79" t="str">
        <f t="shared" si="0"/>
        <v/>
      </c>
      <c r="D65" s="80"/>
      <c r="E65" s="81"/>
      <c r="F65" s="79" t="str">
        <f t="shared" si="1"/>
        <v/>
      </c>
      <c r="G65" s="80"/>
      <c r="H65" s="81"/>
      <c r="I65" s="79" t="str">
        <f t="shared" si="2"/>
        <v/>
      </c>
    </row>
    <row r="66" spans="1:9" s="79" customFormat="1" ht="16.5">
      <c r="A66" s="77"/>
      <c r="B66" s="78"/>
      <c r="C66" s="79" t="str">
        <f t="shared" si="0"/>
        <v/>
      </c>
      <c r="D66" s="80"/>
      <c r="E66" s="81"/>
      <c r="F66" s="79" t="str">
        <f t="shared" si="1"/>
        <v/>
      </c>
      <c r="G66" s="80"/>
      <c r="H66" s="81"/>
      <c r="I66" s="79" t="str">
        <f t="shared" si="2"/>
        <v/>
      </c>
    </row>
    <row r="67" spans="1:9" s="79" customFormat="1" ht="16.5">
      <c r="A67" s="77"/>
      <c r="B67" s="78"/>
      <c r="C67" s="79" t="str">
        <f t="shared" si="0"/>
        <v/>
      </c>
      <c r="D67" s="80"/>
      <c r="E67" s="81"/>
      <c r="F67" s="79" t="str">
        <f t="shared" si="1"/>
        <v/>
      </c>
      <c r="G67" s="80"/>
      <c r="H67" s="81"/>
      <c r="I67" s="79" t="str">
        <f t="shared" si="2"/>
        <v/>
      </c>
    </row>
    <row r="68" spans="1:9" s="79" customFormat="1" ht="16.5">
      <c r="A68" s="77"/>
      <c r="B68" s="78"/>
      <c r="C68" s="79" t="str">
        <f t="shared" si="0"/>
        <v/>
      </c>
      <c r="D68" s="80"/>
      <c r="E68" s="81"/>
      <c r="F68" s="79" t="str">
        <f t="shared" si="1"/>
        <v/>
      </c>
      <c r="G68" s="80"/>
      <c r="H68" s="81"/>
      <c r="I68" s="79" t="str">
        <f t="shared" si="2"/>
        <v/>
      </c>
    </row>
    <row r="69" spans="1:9" s="79" customFormat="1" ht="16.5">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6.5">
      <c r="A70" s="77"/>
      <c r="B70" s="78"/>
      <c r="C70" s="79" t="str">
        <f t="shared" si="3"/>
        <v/>
      </c>
      <c r="D70" s="80"/>
      <c r="E70" s="81"/>
      <c r="F70" s="79" t="str">
        <f t="shared" si="4"/>
        <v/>
      </c>
      <c r="G70" s="80"/>
      <c r="H70" s="81"/>
      <c r="I70" s="79" t="str">
        <f t="shared" si="5"/>
        <v/>
      </c>
    </row>
    <row r="71" spans="1:9" s="79" customFormat="1" ht="16.5">
      <c r="A71" s="77"/>
      <c r="B71" s="78"/>
      <c r="C71" s="79" t="str">
        <f t="shared" si="3"/>
        <v/>
      </c>
      <c r="D71" s="80"/>
      <c r="E71" s="81"/>
      <c r="F71" s="79" t="str">
        <f t="shared" si="4"/>
        <v/>
      </c>
      <c r="G71" s="80"/>
      <c r="H71" s="81"/>
      <c r="I71" s="79" t="str">
        <f t="shared" si="5"/>
        <v/>
      </c>
    </row>
    <row r="72" spans="1:9" s="79" customFormat="1" ht="16.5">
      <c r="A72" s="77"/>
      <c r="B72" s="78"/>
      <c r="C72" s="79" t="str">
        <f t="shared" si="3"/>
        <v/>
      </c>
      <c r="D72" s="80"/>
      <c r="E72" s="81"/>
      <c r="F72" s="79" t="str">
        <f t="shared" si="4"/>
        <v/>
      </c>
      <c r="G72" s="80"/>
      <c r="H72" s="81"/>
      <c r="I72" s="79" t="str">
        <f t="shared" si="5"/>
        <v/>
      </c>
    </row>
    <row r="73" spans="1:9" s="79" customFormat="1" ht="16.5">
      <c r="A73" s="77"/>
      <c r="B73" s="78"/>
      <c r="C73" s="79" t="str">
        <f t="shared" si="3"/>
        <v/>
      </c>
      <c r="D73" s="80"/>
      <c r="E73" s="81"/>
      <c r="F73" s="79" t="str">
        <f t="shared" si="4"/>
        <v/>
      </c>
      <c r="G73" s="80"/>
      <c r="H73" s="81"/>
      <c r="I73" s="79" t="str">
        <f t="shared" si="5"/>
        <v/>
      </c>
    </row>
    <row r="74" spans="1:9" s="79" customFormat="1" ht="16.5">
      <c r="A74" s="77"/>
      <c r="B74" s="78"/>
      <c r="C74" s="79" t="str">
        <f t="shared" si="3"/>
        <v/>
      </c>
      <c r="D74" s="80"/>
      <c r="E74" s="81"/>
      <c r="F74" s="79" t="str">
        <f t="shared" si="4"/>
        <v/>
      </c>
      <c r="G74" s="80"/>
      <c r="H74" s="81"/>
      <c r="I74" s="79" t="str">
        <f t="shared" si="5"/>
        <v/>
      </c>
    </row>
    <row r="75" spans="1:9" s="79" customFormat="1" ht="16.5">
      <c r="A75" s="77"/>
      <c r="B75" s="78"/>
      <c r="C75" s="79" t="str">
        <f t="shared" si="3"/>
        <v/>
      </c>
      <c r="D75" s="80"/>
      <c r="E75" s="81"/>
      <c r="F75" s="79" t="str">
        <f t="shared" si="4"/>
        <v/>
      </c>
      <c r="G75" s="80"/>
      <c r="H75" s="81"/>
      <c r="I75" s="79" t="str">
        <f t="shared" si="5"/>
        <v/>
      </c>
    </row>
    <row r="76" spans="1:9" s="79" customFormat="1" ht="16.5">
      <c r="A76" s="77"/>
      <c r="B76" s="78"/>
      <c r="C76" s="79" t="str">
        <f t="shared" si="3"/>
        <v/>
      </c>
      <c r="D76" s="80"/>
      <c r="E76" s="81"/>
      <c r="F76" s="79" t="str">
        <f t="shared" si="4"/>
        <v/>
      </c>
      <c r="G76" s="80"/>
      <c r="H76" s="81"/>
      <c r="I76" s="79" t="str">
        <f t="shared" si="5"/>
        <v/>
      </c>
    </row>
    <row r="77" spans="1:9" s="79" customFormat="1" ht="16.5">
      <c r="A77" s="77"/>
      <c r="B77" s="78"/>
      <c r="C77" s="79" t="str">
        <f t="shared" si="3"/>
        <v/>
      </c>
      <c r="D77" s="80"/>
      <c r="E77" s="81"/>
      <c r="F77" s="79" t="str">
        <f t="shared" si="4"/>
        <v/>
      </c>
      <c r="G77" s="80"/>
      <c r="H77" s="81"/>
      <c r="I77" s="79" t="str">
        <f t="shared" si="5"/>
        <v/>
      </c>
    </row>
    <row r="78" spans="1:9" s="79" customFormat="1" ht="16.5">
      <c r="A78" s="77"/>
      <c r="B78" s="78"/>
      <c r="C78" s="79" t="str">
        <f t="shared" si="3"/>
        <v/>
      </c>
      <c r="D78" s="80"/>
      <c r="E78" s="81"/>
      <c r="F78" s="79" t="str">
        <f t="shared" si="4"/>
        <v/>
      </c>
      <c r="G78" s="80"/>
      <c r="H78" s="81"/>
      <c r="I78" s="79" t="str">
        <f t="shared" si="5"/>
        <v/>
      </c>
    </row>
    <row r="79" spans="1:9" s="79" customFormat="1" ht="16.5">
      <c r="A79" s="77"/>
      <c r="B79" s="78"/>
      <c r="C79" s="79" t="str">
        <f t="shared" si="3"/>
        <v/>
      </c>
      <c r="D79" s="80"/>
      <c r="E79" s="81"/>
      <c r="F79" s="79" t="str">
        <f t="shared" si="4"/>
        <v/>
      </c>
      <c r="G79" s="80"/>
      <c r="H79" s="81"/>
      <c r="I79" s="79" t="str">
        <f t="shared" si="5"/>
        <v/>
      </c>
    </row>
    <row r="80" spans="1:9" s="79" customFormat="1" ht="16.5">
      <c r="A80" s="77"/>
      <c r="B80" s="78"/>
      <c r="C80" s="79" t="str">
        <f t="shared" si="3"/>
        <v/>
      </c>
      <c r="D80" s="80"/>
      <c r="E80" s="81"/>
      <c r="F80" s="79" t="str">
        <f t="shared" si="4"/>
        <v/>
      </c>
      <c r="G80" s="80"/>
      <c r="H80" s="81"/>
      <c r="I80" s="79" t="str">
        <f t="shared" si="5"/>
        <v/>
      </c>
    </row>
    <row r="81" spans="1:9" s="79" customFormat="1" ht="16.5">
      <c r="A81" s="77"/>
      <c r="B81" s="78"/>
      <c r="C81" s="79" t="str">
        <f t="shared" si="3"/>
        <v/>
      </c>
      <c r="D81" s="80"/>
      <c r="E81" s="81"/>
      <c r="F81" s="79" t="str">
        <f t="shared" si="4"/>
        <v/>
      </c>
      <c r="G81" s="80"/>
      <c r="H81" s="81"/>
      <c r="I81" s="79" t="str">
        <f t="shared" si="5"/>
        <v/>
      </c>
    </row>
    <row r="82" spans="1:9" s="79" customFormat="1" ht="16.5">
      <c r="A82" s="77"/>
      <c r="B82" s="78"/>
      <c r="C82" s="79" t="str">
        <f t="shared" si="3"/>
        <v/>
      </c>
      <c r="D82" s="80"/>
      <c r="E82" s="81"/>
      <c r="F82" s="79" t="str">
        <f t="shared" si="4"/>
        <v/>
      </c>
      <c r="G82" s="80"/>
      <c r="H82" s="81"/>
      <c r="I82" s="79" t="str">
        <f t="shared" si="5"/>
        <v/>
      </c>
    </row>
    <row r="83" spans="1:9" s="79" customFormat="1" ht="16.5">
      <c r="A83" s="77"/>
      <c r="B83" s="78"/>
      <c r="C83" s="79" t="str">
        <f t="shared" si="3"/>
        <v/>
      </c>
      <c r="D83" s="80"/>
      <c r="E83" s="81"/>
      <c r="F83" s="79" t="str">
        <f t="shared" si="4"/>
        <v/>
      </c>
      <c r="G83" s="80"/>
      <c r="H83" s="81"/>
      <c r="I83" s="79" t="str">
        <f t="shared" si="5"/>
        <v/>
      </c>
    </row>
    <row r="84" spans="1:9" s="79" customFormat="1" ht="16.5">
      <c r="A84" s="77"/>
      <c r="B84" s="78"/>
      <c r="C84" s="79" t="str">
        <f t="shared" si="3"/>
        <v/>
      </c>
      <c r="D84" s="80"/>
      <c r="E84" s="81"/>
      <c r="F84" s="79" t="str">
        <f t="shared" si="4"/>
        <v/>
      </c>
      <c r="G84" s="80"/>
      <c r="H84" s="81"/>
      <c r="I84" s="79" t="str">
        <f t="shared" si="5"/>
        <v/>
      </c>
    </row>
    <row r="85" spans="1:9" s="79" customFormat="1" ht="16.5">
      <c r="A85" s="77"/>
      <c r="B85" s="78"/>
      <c r="C85" s="79" t="str">
        <f t="shared" si="3"/>
        <v/>
      </c>
      <c r="D85" s="80"/>
      <c r="E85" s="81"/>
      <c r="F85" s="79" t="str">
        <f t="shared" si="4"/>
        <v/>
      </c>
      <c r="G85" s="80"/>
      <c r="H85" s="81"/>
      <c r="I85" s="79" t="str">
        <f t="shared" si="5"/>
        <v/>
      </c>
    </row>
    <row r="86" spans="1:9" s="79" customFormat="1" ht="16.5">
      <c r="A86" s="77"/>
      <c r="B86" s="78"/>
      <c r="C86" s="79" t="str">
        <f t="shared" si="3"/>
        <v/>
      </c>
      <c r="D86" s="80"/>
      <c r="E86" s="81"/>
      <c r="F86" s="79" t="str">
        <f t="shared" si="4"/>
        <v/>
      </c>
      <c r="G86" s="80"/>
      <c r="H86" s="81"/>
      <c r="I86" s="79" t="str">
        <f t="shared" si="5"/>
        <v/>
      </c>
    </row>
    <row r="87" spans="1:9" s="79" customFormat="1" ht="16.5">
      <c r="A87" s="77"/>
      <c r="B87" s="78"/>
      <c r="C87" s="79" t="str">
        <f t="shared" si="3"/>
        <v/>
      </c>
      <c r="D87" s="80"/>
      <c r="E87" s="81"/>
      <c r="F87" s="79" t="str">
        <f t="shared" si="4"/>
        <v/>
      </c>
      <c r="G87" s="80"/>
      <c r="H87" s="81"/>
      <c r="I87" s="79" t="str">
        <f t="shared" si="5"/>
        <v/>
      </c>
    </row>
    <row r="88" spans="1:9" s="79" customFormat="1" ht="16.5">
      <c r="A88" s="77"/>
      <c r="B88" s="78"/>
      <c r="C88" s="79" t="str">
        <f t="shared" si="3"/>
        <v/>
      </c>
      <c r="D88" s="80"/>
      <c r="E88" s="81"/>
      <c r="F88" s="79" t="str">
        <f t="shared" si="4"/>
        <v/>
      </c>
      <c r="G88" s="80"/>
      <c r="H88" s="81"/>
      <c r="I88" s="79" t="str">
        <f t="shared" si="5"/>
        <v/>
      </c>
    </row>
    <row r="89" spans="1:9" s="79" customFormat="1" ht="16.5">
      <c r="A89" s="77"/>
      <c r="B89" s="78"/>
      <c r="C89" s="79" t="str">
        <f t="shared" si="3"/>
        <v/>
      </c>
      <c r="D89" s="80"/>
      <c r="E89" s="81"/>
      <c r="F89" s="79" t="str">
        <f t="shared" si="4"/>
        <v/>
      </c>
      <c r="G89" s="80"/>
      <c r="H89" s="81"/>
      <c r="I89" s="79" t="str">
        <f t="shared" si="5"/>
        <v/>
      </c>
    </row>
    <row r="90" spans="1:9" s="79" customFormat="1" ht="16.5">
      <c r="A90" s="77"/>
      <c r="B90" s="78"/>
      <c r="C90" s="79" t="str">
        <f t="shared" si="3"/>
        <v/>
      </c>
      <c r="D90" s="80"/>
      <c r="E90" s="81"/>
      <c r="F90" s="79" t="str">
        <f t="shared" si="4"/>
        <v/>
      </c>
      <c r="G90" s="80"/>
      <c r="H90" s="81"/>
      <c r="I90" s="79" t="str">
        <f t="shared" si="5"/>
        <v/>
      </c>
    </row>
    <row r="91" spans="1:9" s="79" customFormat="1" ht="16.5">
      <c r="A91" s="77"/>
      <c r="B91" s="78"/>
      <c r="C91" s="79" t="str">
        <f t="shared" si="3"/>
        <v/>
      </c>
      <c r="D91" s="80"/>
      <c r="E91" s="81"/>
      <c r="F91" s="79" t="str">
        <f t="shared" si="4"/>
        <v/>
      </c>
      <c r="G91" s="80"/>
      <c r="H91" s="81"/>
      <c r="I91" s="79" t="str">
        <f t="shared" si="5"/>
        <v/>
      </c>
    </row>
    <row r="92" spans="1:9" s="79" customFormat="1" ht="16.5">
      <c r="A92" s="77"/>
      <c r="B92" s="78"/>
      <c r="C92" s="79" t="str">
        <f t="shared" si="3"/>
        <v/>
      </c>
      <c r="D92" s="80"/>
      <c r="E92" s="81"/>
      <c r="F92" s="79" t="str">
        <f t="shared" si="4"/>
        <v/>
      </c>
      <c r="G92" s="80"/>
      <c r="H92" s="81"/>
      <c r="I92" s="79" t="str">
        <f t="shared" si="5"/>
        <v/>
      </c>
    </row>
    <row r="93" spans="1:9" s="79" customFormat="1" ht="16.5">
      <c r="A93" s="77"/>
      <c r="B93" s="78"/>
      <c r="C93" s="79" t="str">
        <f t="shared" si="3"/>
        <v/>
      </c>
      <c r="D93" s="80"/>
      <c r="E93" s="81"/>
      <c r="F93" s="79" t="str">
        <f t="shared" si="4"/>
        <v/>
      </c>
      <c r="G93" s="80"/>
      <c r="H93" s="81"/>
      <c r="I93" s="79" t="str">
        <f t="shared" si="5"/>
        <v/>
      </c>
    </row>
    <row r="94" spans="1:9" s="79" customFormat="1" ht="16.5">
      <c r="A94" s="77"/>
      <c r="B94" s="78"/>
      <c r="C94" s="79" t="str">
        <f t="shared" si="3"/>
        <v/>
      </c>
      <c r="D94" s="80"/>
      <c r="E94" s="81"/>
      <c r="F94" s="79" t="str">
        <f t="shared" si="4"/>
        <v/>
      </c>
      <c r="G94" s="80"/>
      <c r="H94" s="81"/>
      <c r="I94" s="79" t="str">
        <f t="shared" si="5"/>
        <v/>
      </c>
    </row>
    <row r="95" spans="1:9" s="79" customFormat="1" ht="16.5">
      <c r="A95" s="77"/>
      <c r="B95" s="78"/>
      <c r="C95" s="79" t="str">
        <f t="shared" si="3"/>
        <v/>
      </c>
      <c r="D95" s="80"/>
      <c r="E95" s="81"/>
      <c r="F95" s="79" t="str">
        <f t="shared" si="4"/>
        <v/>
      </c>
      <c r="G95" s="80"/>
      <c r="H95" s="81"/>
      <c r="I95" s="79" t="str">
        <f t="shared" si="5"/>
        <v/>
      </c>
    </row>
    <row r="96" spans="1:9" s="79" customFormat="1" ht="16.5">
      <c r="A96" s="77"/>
      <c r="B96" s="78"/>
      <c r="C96" s="79" t="str">
        <f t="shared" si="3"/>
        <v/>
      </c>
      <c r="D96" s="80"/>
      <c r="E96" s="81"/>
      <c r="F96" s="79" t="str">
        <f t="shared" si="4"/>
        <v/>
      </c>
      <c r="G96" s="80"/>
      <c r="H96" s="81"/>
      <c r="I96" s="79" t="str">
        <f t="shared" si="5"/>
        <v/>
      </c>
    </row>
    <row r="97" spans="1:9" s="79" customFormat="1" ht="16.5">
      <c r="A97" s="77"/>
      <c r="B97" s="78"/>
      <c r="C97" s="79" t="str">
        <f t="shared" si="3"/>
        <v/>
      </c>
      <c r="D97" s="80"/>
      <c r="E97" s="81"/>
      <c r="F97" s="79" t="str">
        <f t="shared" si="4"/>
        <v/>
      </c>
      <c r="G97" s="80"/>
      <c r="H97" s="81"/>
      <c r="I97" s="79" t="str">
        <f t="shared" si="5"/>
        <v/>
      </c>
    </row>
    <row r="98" spans="1:9" s="79" customFormat="1" ht="16.5">
      <c r="A98" s="77"/>
      <c r="B98" s="78"/>
      <c r="C98" s="79" t="str">
        <f t="shared" si="3"/>
        <v/>
      </c>
      <c r="D98" s="80"/>
      <c r="E98" s="81"/>
      <c r="F98" s="79" t="str">
        <f t="shared" si="4"/>
        <v/>
      </c>
      <c r="G98" s="80"/>
      <c r="H98" s="81"/>
      <c r="I98" s="79" t="str">
        <f t="shared" si="5"/>
        <v/>
      </c>
    </row>
    <row r="99" spans="1:9" s="79" customFormat="1" ht="16.5">
      <c r="A99" s="77"/>
      <c r="B99" s="78"/>
      <c r="C99" s="79" t="str">
        <f t="shared" si="3"/>
        <v/>
      </c>
      <c r="D99" s="80"/>
      <c r="E99" s="81"/>
      <c r="F99" s="79" t="str">
        <f t="shared" si="4"/>
        <v/>
      </c>
      <c r="G99" s="80"/>
      <c r="H99" s="81"/>
      <c r="I99" s="79" t="str">
        <f t="shared" si="5"/>
        <v/>
      </c>
    </row>
    <row r="100" spans="1:9" s="79" customFormat="1" ht="16.5">
      <c r="A100" s="77"/>
      <c r="B100" s="78"/>
      <c r="C100" s="79" t="str">
        <f t="shared" si="3"/>
        <v/>
      </c>
      <c r="D100" s="80"/>
      <c r="E100" s="81"/>
      <c r="F100" s="79" t="str">
        <f t="shared" si="4"/>
        <v/>
      </c>
      <c r="G100" s="80"/>
      <c r="H100" s="81"/>
      <c r="I100" s="79" t="str">
        <f t="shared" si="5"/>
        <v/>
      </c>
    </row>
    <row r="101" spans="1:9" s="79" customFormat="1" ht="16.5">
      <c r="A101" s="77"/>
      <c r="B101" s="78"/>
      <c r="C101" s="79" t="str">
        <f t="shared" si="3"/>
        <v/>
      </c>
      <c r="D101" s="80"/>
      <c r="E101" s="81"/>
      <c r="F101" s="79" t="str">
        <f t="shared" si="4"/>
        <v/>
      </c>
      <c r="G101" s="80"/>
      <c r="H101" s="81"/>
      <c r="I101" s="79" t="str">
        <f t="shared" si="5"/>
        <v/>
      </c>
    </row>
    <row r="102" spans="1:9" s="79" customFormat="1" ht="16.5">
      <c r="A102" s="77"/>
      <c r="B102" s="78"/>
      <c r="C102" s="79" t="str">
        <f t="shared" si="3"/>
        <v/>
      </c>
      <c r="D102" s="80"/>
      <c r="E102" s="81"/>
      <c r="F102" s="79" t="str">
        <f t="shared" si="4"/>
        <v/>
      </c>
      <c r="G102" s="80"/>
      <c r="H102" s="81"/>
      <c r="I102" s="79" t="str">
        <f t="shared" si="5"/>
        <v/>
      </c>
    </row>
    <row r="103" spans="1:9" s="79" customFormat="1" ht="16.5">
      <c r="A103" s="77"/>
      <c r="B103" s="78"/>
      <c r="C103" s="79" t="str">
        <f t="shared" si="3"/>
        <v/>
      </c>
      <c r="D103" s="80"/>
      <c r="E103" s="81"/>
      <c r="F103" s="79" t="str">
        <f t="shared" si="4"/>
        <v/>
      </c>
      <c r="G103" s="80"/>
      <c r="H103" s="81"/>
      <c r="I103" s="79" t="str">
        <f t="shared" si="5"/>
        <v/>
      </c>
    </row>
    <row r="104" spans="1:9" s="79" customFormat="1" ht="16.5">
      <c r="A104" s="77"/>
      <c r="B104" s="78"/>
      <c r="C104" s="79" t="str">
        <f t="shared" si="3"/>
        <v/>
      </c>
      <c r="D104" s="80"/>
      <c r="E104" s="81"/>
      <c r="F104" s="79" t="str">
        <f t="shared" si="4"/>
        <v/>
      </c>
      <c r="G104" s="80"/>
      <c r="H104" s="81"/>
      <c r="I104" s="79" t="str">
        <f t="shared" si="5"/>
        <v/>
      </c>
    </row>
    <row r="105" spans="1:9" s="79" customFormat="1" ht="16.5">
      <c r="A105" s="77"/>
      <c r="B105" s="78"/>
      <c r="C105" s="79" t="str">
        <f t="shared" si="3"/>
        <v/>
      </c>
      <c r="D105" s="80"/>
      <c r="E105" s="81"/>
      <c r="F105" s="79" t="str">
        <f t="shared" si="4"/>
        <v/>
      </c>
      <c r="G105" s="80"/>
      <c r="H105" s="81"/>
      <c r="I105" s="79" t="str">
        <f t="shared" si="5"/>
        <v/>
      </c>
    </row>
    <row r="106" spans="1:9" s="79" customFormat="1" ht="16.5">
      <c r="A106" s="77"/>
      <c r="B106" s="78"/>
      <c r="C106" s="79" t="str">
        <f t="shared" si="3"/>
        <v/>
      </c>
      <c r="D106" s="80"/>
      <c r="E106" s="81"/>
      <c r="F106" s="79" t="str">
        <f t="shared" si="4"/>
        <v/>
      </c>
      <c r="G106" s="80"/>
      <c r="H106" s="81"/>
      <c r="I106" s="79" t="str">
        <f t="shared" si="5"/>
        <v/>
      </c>
    </row>
    <row r="107" spans="1:9" s="79" customFormat="1" ht="16.5">
      <c r="A107" s="77"/>
      <c r="B107" s="78"/>
      <c r="C107" s="79" t="str">
        <f t="shared" si="3"/>
        <v/>
      </c>
      <c r="D107" s="80"/>
      <c r="E107" s="81"/>
      <c r="F107" s="79" t="str">
        <f t="shared" si="4"/>
        <v/>
      </c>
      <c r="G107" s="80"/>
      <c r="H107" s="81"/>
      <c r="I107" s="79" t="str">
        <f t="shared" si="5"/>
        <v/>
      </c>
    </row>
    <row r="108" spans="1:9" s="79" customFormat="1" ht="16.5">
      <c r="A108" s="77"/>
      <c r="B108" s="78"/>
      <c r="C108" s="79" t="str">
        <f t="shared" si="3"/>
        <v/>
      </c>
      <c r="D108" s="80"/>
      <c r="E108" s="81"/>
      <c r="F108" s="79" t="str">
        <f t="shared" si="4"/>
        <v/>
      </c>
      <c r="G108" s="80"/>
      <c r="H108" s="81"/>
      <c r="I108" s="79" t="str">
        <f t="shared" si="5"/>
        <v/>
      </c>
    </row>
    <row r="109" spans="1:9" s="79" customFormat="1" ht="16.5">
      <c r="A109" s="77"/>
      <c r="B109" s="78"/>
      <c r="C109" s="79" t="str">
        <f t="shared" si="3"/>
        <v/>
      </c>
      <c r="D109" s="80"/>
      <c r="E109" s="81"/>
      <c r="F109" s="79" t="str">
        <f t="shared" si="4"/>
        <v/>
      </c>
      <c r="G109" s="80"/>
      <c r="H109" s="81"/>
      <c r="I109" s="79" t="str">
        <f t="shared" si="5"/>
        <v/>
      </c>
    </row>
    <row r="110" spans="1:9" s="79" customFormat="1" ht="16.5">
      <c r="A110" s="77"/>
      <c r="B110" s="78"/>
      <c r="C110" s="79" t="str">
        <f t="shared" si="3"/>
        <v/>
      </c>
      <c r="D110" s="80"/>
      <c r="E110" s="81"/>
      <c r="F110" s="79" t="str">
        <f t="shared" si="4"/>
        <v/>
      </c>
      <c r="G110" s="80"/>
      <c r="H110" s="81"/>
      <c r="I110" s="79" t="str">
        <f t="shared" si="5"/>
        <v/>
      </c>
    </row>
    <row r="111" spans="1:9" s="79" customFormat="1" ht="16.5">
      <c r="A111" s="77"/>
      <c r="B111" s="78"/>
      <c r="C111" s="79" t="str">
        <f t="shared" si="3"/>
        <v/>
      </c>
      <c r="D111" s="80"/>
      <c r="E111" s="81"/>
      <c r="F111" s="79" t="str">
        <f t="shared" si="4"/>
        <v/>
      </c>
      <c r="G111" s="80"/>
      <c r="H111" s="81"/>
      <c r="I111" s="79" t="str">
        <f t="shared" si="5"/>
        <v/>
      </c>
    </row>
    <row r="112" spans="1:9" s="79" customFormat="1" ht="16.5">
      <c r="A112" s="77"/>
      <c r="B112" s="78"/>
      <c r="C112" s="79" t="str">
        <f t="shared" si="3"/>
        <v/>
      </c>
      <c r="D112" s="80"/>
      <c r="E112" s="81"/>
      <c r="F112" s="79" t="str">
        <f t="shared" si="4"/>
        <v/>
      </c>
      <c r="G112" s="80"/>
      <c r="H112" s="81"/>
      <c r="I112" s="79" t="str">
        <f t="shared" si="5"/>
        <v/>
      </c>
    </row>
    <row r="113" spans="1:9" s="79" customFormat="1" ht="16.5">
      <c r="A113" s="77"/>
      <c r="B113" s="78"/>
      <c r="C113" s="79" t="str">
        <f t="shared" si="3"/>
        <v/>
      </c>
      <c r="D113" s="80"/>
      <c r="E113" s="81"/>
      <c r="F113" s="79" t="str">
        <f t="shared" si="4"/>
        <v/>
      </c>
      <c r="G113" s="80"/>
      <c r="H113" s="81"/>
      <c r="I113" s="79" t="str">
        <f t="shared" si="5"/>
        <v/>
      </c>
    </row>
    <row r="114" spans="1:9" s="79" customFormat="1" ht="16.5">
      <c r="A114" s="77"/>
      <c r="B114" s="78"/>
      <c r="C114" s="79" t="str">
        <f t="shared" si="3"/>
        <v/>
      </c>
      <c r="D114" s="80"/>
      <c r="E114" s="81"/>
      <c r="F114" s="79" t="str">
        <f t="shared" si="4"/>
        <v/>
      </c>
      <c r="G114" s="80"/>
      <c r="H114" s="81"/>
      <c r="I114" s="79" t="str">
        <f t="shared" si="5"/>
        <v/>
      </c>
    </row>
    <row r="115" spans="1:9" s="79" customFormat="1" ht="16.5">
      <c r="A115" s="77"/>
      <c r="B115" s="78"/>
      <c r="C115" s="79" t="str">
        <f t="shared" si="3"/>
        <v/>
      </c>
      <c r="D115" s="80"/>
      <c r="E115" s="81"/>
      <c r="F115" s="79" t="str">
        <f t="shared" si="4"/>
        <v/>
      </c>
      <c r="G115" s="80"/>
      <c r="H115" s="81"/>
      <c r="I115" s="79" t="str">
        <f t="shared" si="5"/>
        <v/>
      </c>
    </row>
    <row r="116" spans="1:9" s="79" customFormat="1" ht="16.5">
      <c r="A116" s="77"/>
      <c r="B116" s="78"/>
      <c r="C116" s="79" t="str">
        <f t="shared" si="3"/>
        <v/>
      </c>
      <c r="D116" s="80"/>
      <c r="E116" s="81"/>
      <c r="F116" s="79" t="str">
        <f t="shared" si="4"/>
        <v/>
      </c>
      <c r="G116" s="80"/>
      <c r="H116" s="81"/>
      <c r="I116" s="79" t="str">
        <f t="shared" si="5"/>
        <v/>
      </c>
    </row>
    <row r="117" spans="1:9" s="79" customFormat="1" ht="16.5">
      <c r="A117" s="77"/>
      <c r="B117" s="78"/>
      <c r="C117" s="79" t="str">
        <f t="shared" si="3"/>
        <v/>
      </c>
      <c r="D117" s="80"/>
      <c r="E117" s="81"/>
      <c r="F117" s="79" t="str">
        <f t="shared" si="4"/>
        <v/>
      </c>
      <c r="G117" s="80"/>
      <c r="H117" s="81"/>
      <c r="I117" s="79" t="str">
        <f t="shared" si="5"/>
        <v/>
      </c>
    </row>
    <row r="118" spans="1:9" s="79" customFormat="1" ht="16.5">
      <c r="A118" s="77"/>
      <c r="B118" s="78"/>
      <c r="C118" s="79" t="str">
        <f t="shared" si="3"/>
        <v/>
      </c>
      <c r="D118" s="80"/>
      <c r="E118" s="81"/>
      <c r="F118" s="79" t="str">
        <f t="shared" si="4"/>
        <v/>
      </c>
      <c r="G118" s="80"/>
      <c r="H118" s="81"/>
      <c r="I118" s="79" t="str">
        <f t="shared" si="5"/>
        <v/>
      </c>
    </row>
    <row r="119" spans="1:9" s="79" customFormat="1" ht="16.5">
      <c r="A119" s="77"/>
      <c r="B119" s="78"/>
      <c r="C119" s="79" t="str">
        <f t="shared" si="3"/>
        <v/>
      </c>
      <c r="D119" s="80"/>
      <c r="E119" s="81"/>
      <c r="F119" s="79" t="str">
        <f t="shared" si="4"/>
        <v/>
      </c>
      <c r="G119" s="80"/>
      <c r="H119" s="81"/>
      <c r="I119" s="79" t="str">
        <f t="shared" si="5"/>
        <v/>
      </c>
    </row>
    <row r="120" spans="1:9" s="79" customFormat="1" ht="16.5">
      <c r="A120" s="77"/>
      <c r="B120" s="78"/>
      <c r="C120" s="79" t="str">
        <f t="shared" si="3"/>
        <v/>
      </c>
      <c r="D120" s="80"/>
      <c r="E120" s="81"/>
      <c r="F120" s="79" t="str">
        <f t="shared" si="4"/>
        <v/>
      </c>
      <c r="G120" s="80"/>
      <c r="H120" s="81"/>
      <c r="I120" s="79" t="str">
        <f t="shared" si="5"/>
        <v/>
      </c>
    </row>
    <row r="121" spans="1:9" s="79" customFormat="1" ht="16.5">
      <c r="A121" s="77"/>
      <c r="B121" s="78"/>
      <c r="C121" s="79" t="str">
        <f t="shared" si="3"/>
        <v/>
      </c>
      <c r="D121" s="80"/>
      <c r="E121" s="81"/>
      <c r="F121" s="79" t="str">
        <f t="shared" si="4"/>
        <v/>
      </c>
      <c r="G121" s="80"/>
      <c r="H121" s="81"/>
      <c r="I121" s="79" t="str">
        <f t="shared" si="5"/>
        <v/>
      </c>
    </row>
    <row r="122" spans="1:9" s="79" customFormat="1" ht="16.5">
      <c r="A122" s="77"/>
      <c r="B122" s="78"/>
      <c r="C122" s="79" t="str">
        <f t="shared" si="3"/>
        <v/>
      </c>
      <c r="D122" s="80"/>
      <c r="E122" s="81"/>
      <c r="F122" s="79" t="str">
        <f t="shared" si="4"/>
        <v/>
      </c>
      <c r="G122" s="80"/>
      <c r="H122" s="81"/>
      <c r="I122" s="79" t="str">
        <f t="shared" si="5"/>
        <v/>
      </c>
    </row>
    <row r="123" spans="1:9" s="79" customFormat="1" ht="16.5">
      <c r="A123" s="77"/>
      <c r="B123" s="83"/>
      <c r="C123" s="79" t="str">
        <f t="shared" si="3"/>
        <v/>
      </c>
      <c r="D123" s="80"/>
      <c r="E123" s="81"/>
      <c r="F123" s="79" t="str">
        <f t="shared" si="4"/>
        <v/>
      </c>
      <c r="G123" s="80"/>
      <c r="H123" s="81"/>
      <c r="I123" s="79" t="str">
        <f t="shared" si="5"/>
        <v/>
      </c>
    </row>
    <row r="124" spans="1:9" s="79" customFormat="1" ht="16.5">
      <c r="A124" s="77"/>
      <c r="B124" s="78"/>
      <c r="C124" s="79" t="str">
        <f t="shared" si="3"/>
        <v/>
      </c>
      <c r="D124" s="80"/>
      <c r="E124" s="81"/>
      <c r="F124" s="79" t="str">
        <f t="shared" si="4"/>
        <v/>
      </c>
      <c r="G124" s="80"/>
      <c r="H124" s="81"/>
      <c r="I124" s="79" t="str">
        <f t="shared" si="5"/>
        <v/>
      </c>
    </row>
    <row r="125" spans="1:9" s="79" customFormat="1" ht="16.5">
      <c r="A125" s="77"/>
      <c r="B125" s="78"/>
      <c r="C125" s="79" t="str">
        <f t="shared" si="3"/>
        <v/>
      </c>
      <c r="D125" s="80"/>
      <c r="E125" s="81"/>
      <c r="F125" s="79" t="str">
        <f t="shared" si="4"/>
        <v/>
      </c>
      <c r="G125" s="80"/>
      <c r="H125" s="81"/>
      <c r="I125" s="79" t="str">
        <f t="shared" si="5"/>
        <v/>
      </c>
    </row>
    <row r="126" spans="1:9" s="79" customFormat="1" ht="16.5">
      <c r="A126" s="77"/>
      <c r="B126" s="78"/>
      <c r="C126" s="79" t="str">
        <f t="shared" si="3"/>
        <v/>
      </c>
      <c r="D126" s="80"/>
      <c r="E126" s="81"/>
      <c r="F126" s="79" t="str">
        <f t="shared" si="4"/>
        <v/>
      </c>
      <c r="G126" s="80"/>
      <c r="H126" s="81"/>
      <c r="I126" s="79" t="str">
        <f t="shared" si="5"/>
        <v/>
      </c>
    </row>
    <row r="127" spans="1:9" s="79" customFormat="1" ht="16.5">
      <c r="A127" s="77"/>
      <c r="B127" s="78"/>
      <c r="C127" s="79" t="str">
        <f t="shared" si="3"/>
        <v/>
      </c>
      <c r="D127" s="80"/>
      <c r="E127" s="81"/>
      <c r="F127" s="79" t="str">
        <f t="shared" si="4"/>
        <v/>
      </c>
      <c r="G127" s="80"/>
      <c r="H127" s="81"/>
      <c r="I127" s="79" t="str">
        <f t="shared" si="5"/>
        <v/>
      </c>
    </row>
    <row r="128" spans="1:9" s="79" customFormat="1" ht="16.5">
      <c r="A128" s="77"/>
      <c r="B128" s="78"/>
      <c r="C128" s="79" t="str">
        <f t="shared" si="3"/>
        <v/>
      </c>
      <c r="D128" s="80"/>
      <c r="E128" s="81"/>
      <c r="F128" s="79" t="str">
        <f t="shared" si="4"/>
        <v/>
      </c>
      <c r="G128" s="80"/>
      <c r="H128" s="81"/>
      <c r="I128" s="79" t="str">
        <f t="shared" si="5"/>
        <v/>
      </c>
    </row>
    <row r="129" spans="1:9" s="79" customFormat="1" ht="16.5">
      <c r="A129" s="77"/>
      <c r="B129" s="78"/>
      <c r="C129" s="79" t="str">
        <f t="shared" si="3"/>
        <v/>
      </c>
      <c r="D129" s="80"/>
      <c r="E129" s="81"/>
      <c r="F129" s="79" t="str">
        <f t="shared" si="4"/>
        <v/>
      </c>
      <c r="G129" s="80"/>
      <c r="H129" s="81"/>
      <c r="I129" s="79" t="str">
        <f t="shared" si="5"/>
        <v/>
      </c>
    </row>
    <row r="130" spans="1:9" s="79" customFormat="1" ht="16.5">
      <c r="A130" s="77"/>
      <c r="B130" s="78"/>
      <c r="C130" s="79" t="str">
        <f t="shared" si="3"/>
        <v/>
      </c>
      <c r="D130" s="80"/>
      <c r="E130" s="81"/>
      <c r="F130" s="79" t="str">
        <f t="shared" si="4"/>
        <v/>
      </c>
      <c r="G130" s="80"/>
      <c r="H130" s="81"/>
      <c r="I130" s="79" t="str">
        <f t="shared" si="5"/>
        <v/>
      </c>
    </row>
    <row r="131" spans="1:9" s="79" customFormat="1" ht="16.5">
      <c r="A131" s="77"/>
      <c r="B131" s="78"/>
      <c r="C131" s="79" t="str">
        <f t="shared" si="3"/>
        <v/>
      </c>
      <c r="D131" s="80"/>
      <c r="E131" s="81"/>
      <c r="F131" s="79" t="str">
        <f t="shared" si="4"/>
        <v/>
      </c>
      <c r="G131" s="80"/>
      <c r="H131" s="81"/>
      <c r="I131" s="79" t="str">
        <f t="shared" si="5"/>
        <v/>
      </c>
    </row>
    <row r="132" spans="1:9" s="79" customFormat="1" ht="16.5">
      <c r="A132" s="77"/>
      <c r="B132" s="78"/>
      <c r="C132" s="79" t="str">
        <f t="shared" si="3"/>
        <v/>
      </c>
      <c r="D132" s="80"/>
      <c r="E132" s="81"/>
      <c r="F132" s="79" t="str">
        <f t="shared" si="4"/>
        <v/>
      </c>
      <c r="G132" s="80"/>
      <c r="H132" s="81"/>
      <c r="I132" s="79" t="str">
        <f t="shared" si="5"/>
        <v/>
      </c>
    </row>
    <row r="133" spans="1:9" s="79" customFormat="1" ht="16.5">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6.5">
      <c r="A134" s="77"/>
      <c r="B134" s="78"/>
      <c r="C134" s="79" t="str">
        <f t="shared" si="6"/>
        <v/>
      </c>
      <c r="D134" s="80"/>
      <c r="E134" s="81"/>
      <c r="F134" s="79" t="str">
        <f t="shared" si="7"/>
        <v/>
      </c>
      <c r="G134" s="80"/>
      <c r="H134" s="81"/>
      <c r="I134" s="79" t="str">
        <f t="shared" si="8"/>
        <v/>
      </c>
    </row>
    <row r="135" spans="1:9" s="79" customFormat="1" ht="16.5">
      <c r="A135" s="77"/>
      <c r="B135" s="78"/>
      <c r="C135" s="79" t="str">
        <f t="shared" si="6"/>
        <v/>
      </c>
      <c r="D135" s="80"/>
      <c r="E135" s="81"/>
      <c r="F135" s="79" t="str">
        <f t="shared" si="7"/>
        <v/>
      </c>
      <c r="G135" s="80"/>
      <c r="H135" s="81"/>
      <c r="I135" s="79" t="str">
        <f t="shared" si="8"/>
        <v/>
      </c>
    </row>
    <row r="136" spans="1:9" s="79" customFormat="1" ht="16.5">
      <c r="A136" s="77"/>
      <c r="B136" s="78"/>
      <c r="C136" s="79" t="str">
        <f t="shared" si="6"/>
        <v/>
      </c>
      <c r="D136" s="80"/>
      <c r="E136" s="81"/>
      <c r="F136" s="79" t="str">
        <f t="shared" si="7"/>
        <v/>
      </c>
      <c r="G136" s="80"/>
      <c r="H136" s="81"/>
      <c r="I136" s="79" t="str">
        <f t="shared" si="8"/>
        <v/>
      </c>
    </row>
    <row r="137" spans="1:9" s="79" customFormat="1" ht="16.5">
      <c r="A137" s="77"/>
      <c r="B137" s="78"/>
      <c r="C137" s="79" t="str">
        <f t="shared" si="6"/>
        <v/>
      </c>
      <c r="D137" s="80"/>
      <c r="E137" s="81"/>
      <c r="F137" s="79" t="str">
        <f t="shared" si="7"/>
        <v/>
      </c>
      <c r="G137" s="80"/>
      <c r="H137" s="81"/>
      <c r="I137" s="79" t="str">
        <f t="shared" si="8"/>
        <v/>
      </c>
    </row>
    <row r="138" spans="1:9" s="79" customFormat="1" ht="16.5">
      <c r="A138" s="77"/>
      <c r="B138" s="78"/>
      <c r="C138" s="79" t="str">
        <f t="shared" si="6"/>
        <v/>
      </c>
      <c r="D138" s="80"/>
      <c r="E138" s="81"/>
      <c r="F138" s="79" t="str">
        <f t="shared" si="7"/>
        <v/>
      </c>
      <c r="G138" s="80"/>
      <c r="H138" s="81"/>
      <c r="I138" s="79" t="str">
        <f t="shared" si="8"/>
        <v/>
      </c>
    </row>
    <row r="139" spans="1:9" s="79" customFormat="1" ht="16.5">
      <c r="A139" s="77"/>
      <c r="B139" s="78"/>
      <c r="C139" s="79" t="str">
        <f t="shared" si="6"/>
        <v/>
      </c>
      <c r="D139" s="80"/>
      <c r="E139" s="81"/>
      <c r="F139" s="79" t="str">
        <f t="shared" si="7"/>
        <v/>
      </c>
      <c r="G139" s="80"/>
      <c r="H139" s="81"/>
      <c r="I139" s="79" t="str">
        <f t="shared" si="8"/>
        <v/>
      </c>
    </row>
    <row r="140" spans="1:9" s="79" customFormat="1" ht="16.5">
      <c r="A140" s="77"/>
      <c r="B140" s="78"/>
      <c r="C140" s="79" t="str">
        <f t="shared" si="6"/>
        <v/>
      </c>
      <c r="D140" s="80"/>
      <c r="E140" s="81"/>
      <c r="F140" s="79" t="str">
        <f t="shared" si="7"/>
        <v/>
      </c>
      <c r="G140" s="80"/>
      <c r="H140" s="81"/>
      <c r="I140" s="79" t="str">
        <f t="shared" si="8"/>
        <v/>
      </c>
    </row>
    <row r="141" spans="1:9" s="79" customFormat="1" ht="16.5">
      <c r="A141" s="77"/>
      <c r="B141" s="78"/>
      <c r="C141" s="79" t="str">
        <f t="shared" si="6"/>
        <v/>
      </c>
      <c r="D141" s="80"/>
      <c r="E141" s="81"/>
      <c r="F141" s="79" t="str">
        <f t="shared" si="7"/>
        <v/>
      </c>
      <c r="G141" s="80"/>
      <c r="H141" s="81"/>
      <c r="I141" s="79" t="str">
        <f t="shared" si="8"/>
        <v/>
      </c>
    </row>
    <row r="142" spans="1:9" s="79" customFormat="1" ht="16.5">
      <c r="A142" s="77"/>
      <c r="B142" s="78"/>
      <c r="C142" s="79" t="str">
        <f t="shared" si="6"/>
        <v/>
      </c>
      <c r="D142" s="80"/>
      <c r="E142" s="81"/>
      <c r="F142" s="79" t="str">
        <f t="shared" si="7"/>
        <v/>
      </c>
      <c r="G142" s="80"/>
      <c r="H142" s="81"/>
      <c r="I142" s="79" t="str">
        <f t="shared" si="8"/>
        <v/>
      </c>
    </row>
    <row r="143" spans="1:9" s="79" customFormat="1" ht="16.5">
      <c r="A143" s="77"/>
      <c r="B143" s="78"/>
      <c r="C143" s="79" t="str">
        <f t="shared" si="6"/>
        <v/>
      </c>
      <c r="D143" s="80"/>
      <c r="E143" s="81"/>
      <c r="F143" s="79" t="str">
        <f t="shared" si="7"/>
        <v/>
      </c>
      <c r="G143" s="80"/>
      <c r="H143" s="81"/>
      <c r="I143" s="79" t="str">
        <f t="shared" si="8"/>
        <v/>
      </c>
    </row>
    <row r="144" spans="1:9" s="79" customFormat="1" ht="16.5">
      <c r="A144" s="77"/>
      <c r="B144" s="78"/>
      <c r="C144" s="79" t="str">
        <f t="shared" si="6"/>
        <v/>
      </c>
      <c r="D144" s="80"/>
      <c r="E144" s="81"/>
      <c r="F144" s="79" t="str">
        <f t="shared" si="7"/>
        <v/>
      </c>
      <c r="G144" s="80"/>
      <c r="H144" s="81"/>
      <c r="I144" s="79" t="str">
        <f t="shared" si="8"/>
        <v/>
      </c>
    </row>
    <row r="145" spans="1:9" s="79" customFormat="1" ht="16.5">
      <c r="A145" s="77"/>
      <c r="B145" s="78"/>
      <c r="C145" s="79" t="str">
        <f t="shared" si="6"/>
        <v/>
      </c>
      <c r="D145" s="80"/>
      <c r="E145" s="81"/>
      <c r="F145" s="79" t="str">
        <f t="shared" si="7"/>
        <v/>
      </c>
      <c r="G145" s="80"/>
      <c r="H145" s="81"/>
      <c r="I145" s="79" t="str">
        <f t="shared" si="8"/>
        <v/>
      </c>
    </row>
    <row r="146" spans="1:9" s="79" customFormat="1" ht="16.5">
      <c r="A146" s="77"/>
      <c r="B146" s="78"/>
      <c r="C146" s="79" t="str">
        <f t="shared" si="6"/>
        <v/>
      </c>
      <c r="D146" s="80"/>
      <c r="E146" s="81"/>
      <c r="F146" s="79" t="str">
        <f t="shared" si="7"/>
        <v/>
      </c>
      <c r="G146" s="80"/>
      <c r="H146" s="81"/>
      <c r="I146" s="79" t="str">
        <f t="shared" si="8"/>
        <v/>
      </c>
    </row>
    <row r="147" spans="1:9" s="79" customFormat="1" ht="16.5">
      <c r="A147" s="77"/>
      <c r="B147" s="78"/>
      <c r="C147" s="79" t="str">
        <f t="shared" si="6"/>
        <v/>
      </c>
      <c r="D147" s="80"/>
      <c r="E147" s="81"/>
      <c r="F147" s="79" t="str">
        <f t="shared" si="7"/>
        <v/>
      </c>
      <c r="G147" s="80"/>
      <c r="H147" s="81"/>
      <c r="I147" s="79" t="str">
        <f t="shared" si="8"/>
        <v/>
      </c>
    </row>
    <row r="148" spans="1:9" s="79" customFormat="1" ht="16.5">
      <c r="A148" s="77"/>
      <c r="B148" s="78"/>
      <c r="C148" s="79" t="str">
        <f t="shared" si="6"/>
        <v/>
      </c>
      <c r="D148" s="80"/>
      <c r="E148" s="81"/>
      <c r="F148" s="79" t="str">
        <f t="shared" si="7"/>
        <v/>
      </c>
      <c r="G148" s="80"/>
      <c r="H148" s="81"/>
      <c r="I148" s="79" t="str">
        <f t="shared" si="8"/>
        <v/>
      </c>
    </row>
    <row r="149" spans="1:9" s="79" customFormat="1" ht="16.5">
      <c r="A149" s="77"/>
      <c r="B149" s="78"/>
      <c r="C149" s="79" t="str">
        <f t="shared" si="6"/>
        <v/>
      </c>
      <c r="D149" s="80"/>
      <c r="E149" s="81"/>
      <c r="F149" s="79" t="str">
        <f t="shared" si="7"/>
        <v/>
      </c>
      <c r="G149" s="80"/>
      <c r="H149" s="81"/>
      <c r="I149" s="79" t="str">
        <f t="shared" si="8"/>
        <v/>
      </c>
    </row>
    <row r="150" spans="1:9" s="79" customFormat="1" ht="16.5">
      <c r="A150" s="77"/>
      <c r="B150" s="78"/>
      <c r="C150" s="79" t="str">
        <f t="shared" si="6"/>
        <v/>
      </c>
      <c r="D150" s="80"/>
      <c r="E150" s="81"/>
      <c r="F150" s="79" t="str">
        <f t="shared" si="7"/>
        <v/>
      </c>
      <c r="G150" s="80"/>
      <c r="H150" s="81"/>
      <c r="I150" s="79" t="str">
        <f t="shared" si="8"/>
        <v/>
      </c>
    </row>
    <row r="151" spans="1:9" s="79" customFormat="1" ht="16.5">
      <c r="A151" s="77"/>
      <c r="B151" s="78"/>
      <c r="C151" s="79" t="str">
        <f t="shared" si="6"/>
        <v/>
      </c>
      <c r="D151" s="80"/>
      <c r="E151" s="81"/>
      <c r="F151" s="79" t="str">
        <f t="shared" si="7"/>
        <v/>
      </c>
      <c r="G151" s="80"/>
      <c r="H151" s="81"/>
      <c r="I151" s="79" t="str">
        <f t="shared" si="8"/>
        <v/>
      </c>
    </row>
    <row r="152" spans="1:9" s="79" customFormat="1" ht="16.5">
      <c r="A152" s="77"/>
      <c r="B152" s="78"/>
      <c r="C152" s="79" t="str">
        <f t="shared" si="6"/>
        <v/>
      </c>
      <c r="D152" s="80"/>
      <c r="E152" s="81"/>
      <c r="F152" s="79" t="str">
        <f t="shared" si="7"/>
        <v/>
      </c>
      <c r="G152" s="80"/>
      <c r="H152" s="81"/>
      <c r="I152" s="79" t="str">
        <f t="shared" si="8"/>
        <v/>
      </c>
    </row>
    <row r="153" spans="1:9" s="79" customFormat="1" ht="16.5">
      <c r="A153" s="77"/>
      <c r="B153" s="78"/>
      <c r="C153" s="79" t="str">
        <f t="shared" si="6"/>
        <v/>
      </c>
      <c r="D153" s="80"/>
      <c r="E153" s="81"/>
      <c r="F153" s="79" t="str">
        <f t="shared" si="7"/>
        <v/>
      </c>
      <c r="G153" s="80"/>
      <c r="H153" s="81"/>
      <c r="I153" s="79" t="str">
        <f t="shared" si="8"/>
        <v/>
      </c>
    </row>
    <row r="154" spans="1:9" s="79" customFormat="1" ht="16.5">
      <c r="A154" s="77"/>
      <c r="B154" s="78"/>
      <c r="C154" s="79" t="str">
        <f t="shared" si="6"/>
        <v/>
      </c>
      <c r="D154" s="80"/>
      <c r="E154" s="81"/>
      <c r="F154" s="79" t="str">
        <f t="shared" si="7"/>
        <v/>
      </c>
      <c r="G154" s="80"/>
      <c r="H154" s="81"/>
      <c r="I154" s="79" t="str">
        <f t="shared" si="8"/>
        <v/>
      </c>
    </row>
    <row r="155" spans="1:9" s="79" customFormat="1" ht="16.5">
      <c r="A155" s="77"/>
      <c r="B155" s="78"/>
      <c r="C155" s="79" t="str">
        <f t="shared" si="6"/>
        <v/>
      </c>
      <c r="D155" s="80"/>
      <c r="E155" s="81"/>
      <c r="F155" s="79" t="str">
        <f t="shared" si="7"/>
        <v/>
      </c>
      <c r="G155" s="80"/>
      <c r="H155" s="81"/>
      <c r="I155" s="79" t="str">
        <f t="shared" si="8"/>
        <v/>
      </c>
    </row>
    <row r="156" spans="1:9" s="79" customFormat="1" ht="16.5">
      <c r="A156" s="77"/>
      <c r="B156" s="78"/>
      <c r="C156" s="79" t="str">
        <f t="shared" si="6"/>
        <v/>
      </c>
      <c r="D156" s="80"/>
      <c r="E156" s="81"/>
      <c r="F156" s="79" t="str">
        <f t="shared" si="7"/>
        <v/>
      </c>
      <c r="G156" s="80"/>
      <c r="H156" s="81"/>
      <c r="I156" s="79" t="str">
        <f t="shared" si="8"/>
        <v/>
      </c>
    </row>
    <row r="157" spans="1:9" s="79" customFormat="1" ht="16.5">
      <c r="A157" s="77"/>
      <c r="B157" s="78"/>
      <c r="C157" s="79" t="str">
        <f t="shared" si="6"/>
        <v/>
      </c>
      <c r="D157" s="80"/>
      <c r="E157" s="81"/>
      <c r="F157" s="79" t="str">
        <f t="shared" si="7"/>
        <v/>
      </c>
      <c r="G157" s="80"/>
      <c r="H157" s="81"/>
      <c r="I157" s="79" t="str">
        <f t="shared" si="8"/>
        <v/>
      </c>
    </row>
    <row r="158" spans="1:9" s="79" customFormat="1" ht="16.5">
      <c r="A158" s="77"/>
      <c r="B158" s="78"/>
      <c r="C158" s="79" t="str">
        <f t="shared" si="6"/>
        <v/>
      </c>
      <c r="D158" s="80"/>
      <c r="E158" s="81"/>
      <c r="F158" s="79" t="str">
        <f t="shared" si="7"/>
        <v/>
      </c>
      <c r="G158" s="80"/>
      <c r="H158" s="81"/>
      <c r="I158" s="79" t="str">
        <f t="shared" si="8"/>
        <v/>
      </c>
    </row>
    <row r="159" spans="1:9" s="79" customFormat="1" ht="16.5">
      <c r="A159" s="77"/>
      <c r="B159" s="78"/>
      <c r="C159" s="79" t="str">
        <f t="shared" si="6"/>
        <v/>
      </c>
      <c r="D159" s="80"/>
      <c r="E159" s="81"/>
      <c r="F159" s="79" t="str">
        <f t="shared" si="7"/>
        <v/>
      </c>
      <c r="G159" s="80"/>
      <c r="H159" s="81"/>
      <c r="I159" s="79" t="str">
        <f t="shared" si="8"/>
        <v/>
      </c>
    </row>
    <row r="160" spans="1:9" s="79" customFormat="1" ht="16.5">
      <c r="A160" s="77"/>
      <c r="B160" s="78"/>
      <c r="C160" s="79" t="str">
        <f t="shared" si="6"/>
        <v/>
      </c>
      <c r="D160" s="80"/>
      <c r="E160" s="81"/>
      <c r="F160" s="79" t="str">
        <f t="shared" si="7"/>
        <v/>
      </c>
      <c r="G160" s="80"/>
      <c r="H160" s="81"/>
      <c r="I160" s="79" t="str">
        <f t="shared" si="8"/>
        <v/>
      </c>
    </row>
    <row r="161" spans="1:9" s="79" customFormat="1" ht="16.5">
      <c r="A161" s="77"/>
      <c r="B161" s="78"/>
      <c r="C161" s="79" t="str">
        <f t="shared" si="6"/>
        <v/>
      </c>
      <c r="D161" s="80"/>
      <c r="E161" s="81"/>
      <c r="F161" s="79" t="str">
        <f t="shared" si="7"/>
        <v/>
      </c>
      <c r="G161" s="80"/>
      <c r="H161" s="81"/>
      <c r="I161" s="79" t="str">
        <f t="shared" si="8"/>
        <v/>
      </c>
    </row>
    <row r="162" spans="1:9" s="79" customFormat="1" ht="16.5">
      <c r="A162" s="77"/>
      <c r="B162" s="78"/>
      <c r="C162" s="79" t="str">
        <f t="shared" si="6"/>
        <v/>
      </c>
      <c r="D162" s="80"/>
      <c r="E162" s="81"/>
      <c r="F162" s="79" t="str">
        <f t="shared" si="7"/>
        <v/>
      </c>
      <c r="G162" s="80"/>
      <c r="H162" s="81"/>
      <c r="I162" s="79" t="str">
        <f t="shared" si="8"/>
        <v/>
      </c>
    </row>
    <row r="163" spans="1:9" s="79" customFormat="1" ht="16.5">
      <c r="A163" s="77"/>
      <c r="B163" s="78"/>
      <c r="C163" s="79" t="str">
        <f t="shared" si="6"/>
        <v/>
      </c>
      <c r="D163" s="80"/>
      <c r="E163" s="81"/>
      <c r="F163" s="79" t="str">
        <f t="shared" si="7"/>
        <v/>
      </c>
      <c r="G163" s="80"/>
      <c r="H163" s="81"/>
      <c r="I163" s="79" t="str">
        <f t="shared" si="8"/>
        <v/>
      </c>
    </row>
    <row r="164" spans="1:9" s="79" customFormat="1" ht="16.5">
      <c r="A164" s="77"/>
      <c r="B164" s="78"/>
      <c r="C164" s="79" t="str">
        <f t="shared" si="6"/>
        <v/>
      </c>
      <c r="D164" s="80"/>
      <c r="E164" s="81"/>
      <c r="F164" s="79" t="str">
        <f t="shared" si="7"/>
        <v/>
      </c>
      <c r="G164" s="80"/>
      <c r="H164" s="81"/>
      <c r="I164" s="79" t="str">
        <f t="shared" si="8"/>
        <v/>
      </c>
    </row>
    <row r="165" spans="1:9" s="79" customFormat="1" ht="16.5">
      <c r="A165" s="77"/>
      <c r="B165" s="78"/>
      <c r="C165" s="79" t="str">
        <f t="shared" si="6"/>
        <v/>
      </c>
      <c r="D165" s="80"/>
      <c r="E165" s="81"/>
      <c r="F165" s="79" t="str">
        <f t="shared" si="7"/>
        <v/>
      </c>
      <c r="G165" s="80"/>
      <c r="H165" s="81"/>
      <c r="I165" s="79" t="str">
        <f t="shared" si="8"/>
        <v/>
      </c>
    </row>
    <row r="166" spans="1:9" s="79" customFormat="1" ht="16.5">
      <c r="A166" s="77"/>
      <c r="B166" s="78"/>
      <c r="C166" s="79" t="str">
        <f t="shared" si="6"/>
        <v/>
      </c>
      <c r="D166" s="80"/>
      <c r="E166" s="81"/>
      <c r="F166" s="79" t="str">
        <f t="shared" si="7"/>
        <v/>
      </c>
      <c r="G166" s="80"/>
      <c r="H166" s="81"/>
      <c r="I166" s="79" t="str">
        <f t="shared" si="8"/>
        <v/>
      </c>
    </row>
    <row r="167" spans="1:9" s="79" customFormat="1" ht="16.5">
      <c r="A167" s="77"/>
      <c r="B167" s="78"/>
      <c r="C167" s="79" t="str">
        <f t="shared" si="6"/>
        <v/>
      </c>
      <c r="D167" s="80"/>
      <c r="E167" s="81"/>
      <c r="F167" s="79" t="str">
        <f t="shared" si="7"/>
        <v/>
      </c>
      <c r="G167" s="80"/>
      <c r="H167" s="81"/>
      <c r="I167" s="79" t="str">
        <f t="shared" si="8"/>
        <v/>
      </c>
    </row>
    <row r="168" spans="1:9" s="79" customFormat="1" ht="16.5">
      <c r="A168" s="77"/>
      <c r="B168" s="78"/>
      <c r="C168" s="79" t="str">
        <f t="shared" si="6"/>
        <v/>
      </c>
      <c r="D168" s="80"/>
      <c r="E168" s="81"/>
      <c r="F168" s="79" t="str">
        <f t="shared" si="7"/>
        <v/>
      </c>
      <c r="G168" s="80"/>
      <c r="H168" s="81"/>
      <c r="I168" s="79" t="str">
        <f t="shared" si="8"/>
        <v/>
      </c>
    </row>
    <row r="169" spans="1:9" s="79" customFormat="1" ht="16.5">
      <c r="A169" s="77"/>
      <c r="B169" s="78"/>
      <c r="C169" s="79" t="str">
        <f t="shared" si="6"/>
        <v/>
      </c>
      <c r="D169" s="80"/>
      <c r="E169" s="81"/>
      <c r="F169" s="79" t="str">
        <f t="shared" si="7"/>
        <v/>
      </c>
      <c r="G169" s="80"/>
      <c r="H169" s="81"/>
      <c r="I169" s="79" t="str">
        <f t="shared" si="8"/>
        <v/>
      </c>
    </row>
    <row r="170" spans="1:9" s="79" customFormat="1" ht="16.5">
      <c r="A170" s="77"/>
      <c r="B170" s="78"/>
      <c r="C170" s="79" t="str">
        <f t="shared" si="6"/>
        <v/>
      </c>
      <c r="D170" s="80"/>
      <c r="E170" s="81"/>
      <c r="F170" s="79" t="str">
        <f t="shared" si="7"/>
        <v/>
      </c>
      <c r="G170" s="80"/>
      <c r="H170" s="81"/>
      <c r="I170" s="79" t="str">
        <f t="shared" si="8"/>
        <v/>
      </c>
    </row>
    <row r="171" spans="1:9" s="79" customFormat="1" ht="16.5">
      <c r="A171" s="77"/>
      <c r="B171" s="78"/>
      <c r="C171" s="79" t="str">
        <f t="shared" si="6"/>
        <v/>
      </c>
      <c r="D171" s="80"/>
      <c r="E171" s="81"/>
      <c r="F171" s="79" t="str">
        <f t="shared" si="7"/>
        <v/>
      </c>
      <c r="G171" s="80"/>
      <c r="H171" s="81"/>
      <c r="I171" s="79" t="str">
        <f t="shared" si="8"/>
        <v/>
      </c>
    </row>
    <row r="172" spans="1:9" s="79" customFormat="1" ht="16.5">
      <c r="A172" s="77"/>
      <c r="B172" s="78"/>
      <c r="C172" s="79" t="str">
        <f t="shared" si="6"/>
        <v/>
      </c>
      <c r="D172" s="80"/>
      <c r="E172" s="81"/>
      <c r="F172" s="79" t="str">
        <f t="shared" si="7"/>
        <v/>
      </c>
      <c r="G172" s="80"/>
      <c r="H172" s="81"/>
      <c r="I172" s="79" t="str">
        <f t="shared" si="8"/>
        <v/>
      </c>
    </row>
    <row r="173" spans="1:9" s="79" customFormat="1" ht="16.5">
      <c r="A173" s="77"/>
      <c r="B173" s="78"/>
      <c r="C173" s="79" t="str">
        <f t="shared" si="6"/>
        <v/>
      </c>
      <c r="D173" s="80"/>
      <c r="E173" s="81"/>
      <c r="F173" s="79" t="str">
        <f t="shared" si="7"/>
        <v/>
      </c>
      <c r="G173" s="80"/>
      <c r="H173" s="81"/>
      <c r="I173" s="79" t="str">
        <f t="shared" si="8"/>
        <v/>
      </c>
    </row>
    <row r="174" spans="1:9" s="79" customFormat="1" ht="16.5">
      <c r="A174" s="77"/>
      <c r="B174" s="78"/>
      <c r="C174" s="79" t="str">
        <f t="shared" si="6"/>
        <v/>
      </c>
      <c r="D174" s="80"/>
      <c r="E174" s="81"/>
      <c r="F174" s="79" t="str">
        <f t="shared" si="7"/>
        <v/>
      </c>
      <c r="G174" s="80"/>
      <c r="H174" s="81"/>
      <c r="I174" s="79" t="str">
        <f t="shared" si="8"/>
        <v/>
      </c>
    </row>
    <row r="175" spans="1:9" s="79" customFormat="1" ht="16.5">
      <c r="A175" s="77"/>
      <c r="B175" s="78"/>
      <c r="C175" s="79" t="str">
        <f t="shared" si="6"/>
        <v/>
      </c>
      <c r="D175" s="80"/>
      <c r="E175" s="81"/>
      <c r="F175" s="79" t="str">
        <f t="shared" si="7"/>
        <v/>
      </c>
      <c r="G175" s="80"/>
      <c r="H175" s="81"/>
      <c r="I175" s="79" t="str">
        <f t="shared" si="8"/>
        <v/>
      </c>
    </row>
    <row r="176" spans="1:9" s="79" customFormat="1" ht="16.5">
      <c r="A176" s="77"/>
      <c r="B176" s="78"/>
      <c r="C176" s="79" t="str">
        <f t="shared" si="6"/>
        <v/>
      </c>
      <c r="D176" s="80"/>
      <c r="E176" s="81"/>
      <c r="F176" s="79" t="str">
        <f t="shared" si="7"/>
        <v/>
      </c>
      <c r="G176" s="80"/>
      <c r="H176" s="81"/>
      <c r="I176" s="79" t="str">
        <f t="shared" si="8"/>
        <v/>
      </c>
    </row>
    <row r="177" spans="1:9" s="79" customFormat="1" ht="16.5">
      <c r="A177" s="77"/>
      <c r="B177" s="78"/>
      <c r="C177" s="79" t="str">
        <f t="shared" si="6"/>
        <v/>
      </c>
      <c r="D177" s="80"/>
      <c r="E177" s="81"/>
      <c r="F177" s="79" t="str">
        <f t="shared" si="7"/>
        <v/>
      </c>
      <c r="G177" s="80"/>
      <c r="H177" s="81"/>
      <c r="I177" s="79" t="str">
        <f t="shared" si="8"/>
        <v/>
      </c>
    </row>
    <row r="178" spans="1:9" s="79" customFormat="1" ht="16.5">
      <c r="A178" s="77"/>
      <c r="B178" s="78"/>
      <c r="C178" s="79" t="str">
        <f t="shared" si="6"/>
        <v/>
      </c>
      <c r="D178" s="80"/>
      <c r="E178" s="81"/>
      <c r="F178" s="79" t="str">
        <f t="shared" si="7"/>
        <v/>
      </c>
      <c r="G178" s="80"/>
      <c r="H178" s="81"/>
      <c r="I178" s="79" t="str">
        <f t="shared" si="8"/>
        <v/>
      </c>
    </row>
    <row r="179" spans="1:9" s="79" customFormat="1" ht="16.5">
      <c r="A179" s="77"/>
      <c r="B179" s="78"/>
      <c r="C179" s="79" t="str">
        <f t="shared" si="6"/>
        <v/>
      </c>
      <c r="D179" s="80"/>
      <c r="E179" s="81"/>
      <c r="F179" s="79" t="str">
        <f t="shared" si="7"/>
        <v/>
      </c>
      <c r="G179" s="80"/>
      <c r="H179" s="81"/>
      <c r="I179" s="79" t="str">
        <f t="shared" si="8"/>
        <v/>
      </c>
    </row>
    <row r="180" spans="1:9" s="79" customFormat="1" ht="16.5">
      <c r="A180" s="77"/>
      <c r="B180" s="78"/>
      <c r="C180" s="79" t="str">
        <f t="shared" si="6"/>
        <v/>
      </c>
      <c r="D180" s="80"/>
      <c r="E180" s="81"/>
      <c r="F180" s="79" t="str">
        <f t="shared" si="7"/>
        <v/>
      </c>
      <c r="G180" s="80"/>
      <c r="H180" s="81"/>
      <c r="I180" s="79" t="str">
        <f t="shared" si="8"/>
        <v/>
      </c>
    </row>
    <row r="181" spans="1:9" s="79" customFormat="1" ht="16.5">
      <c r="A181" s="77"/>
      <c r="B181" s="78"/>
      <c r="C181" s="79" t="str">
        <f t="shared" si="6"/>
        <v/>
      </c>
      <c r="D181" s="80"/>
      <c r="E181" s="81"/>
      <c r="F181" s="79" t="str">
        <f t="shared" si="7"/>
        <v/>
      </c>
      <c r="G181" s="80"/>
      <c r="H181" s="81"/>
      <c r="I181" s="79" t="str">
        <f t="shared" si="8"/>
        <v/>
      </c>
    </row>
    <row r="182" spans="1:9" s="79" customFormat="1" ht="16.5">
      <c r="A182" s="77"/>
      <c r="B182" s="78"/>
      <c r="C182" s="79" t="str">
        <f t="shared" si="6"/>
        <v/>
      </c>
      <c r="D182" s="80"/>
      <c r="E182" s="81"/>
      <c r="F182" s="79" t="str">
        <f t="shared" si="7"/>
        <v/>
      </c>
      <c r="G182" s="80"/>
      <c r="H182" s="81"/>
      <c r="I182" s="79" t="str">
        <f t="shared" si="8"/>
        <v/>
      </c>
    </row>
    <row r="183" spans="1:9" s="79" customFormat="1" ht="16.5">
      <c r="A183" s="77"/>
      <c r="B183" s="78"/>
      <c r="C183" s="79" t="str">
        <f t="shared" si="6"/>
        <v/>
      </c>
      <c r="D183" s="80"/>
      <c r="E183" s="81"/>
      <c r="F183" s="79" t="str">
        <f t="shared" si="7"/>
        <v/>
      </c>
      <c r="G183" s="80"/>
      <c r="H183" s="81"/>
      <c r="I183" s="79" t="str">
        <f t="shared" si="8"/>
        <v/>
      </c>
    </row>
    <row r="184" spans="1:9" s="79" customFormat="1" ht="16.5">
      <c r="A184" s="77"/>
      <c r="B184" s="78"/>
      <c r="C184" s="79" t="str">
        <f t="shared" si="6"/>
        <v/>
      </c>
      <c r="D184" s="80"/>
      <c r="E184" s="81"/>
      <c r="F184" s="79" t="str">
        <f t="shared" si="7"/>
        <v/>
      </c>
      <c r="G184" s="80"/>
      <c r="H184" s="81"/>
      <c r="I184" s="79" t="str">
        <f t="shared" si="8"/>
        <v/>
      </c>
    </row>
    <row r="185" spans="1:9" s="79" customFormat="1" ht="16.5">
      <c r="A185" s="77"/>
      <c r="B185" s="78"/>
      <c r="C185" s="79" t="str">
        <f t="shared" si="6"/>
        <v/>
      </c>
      <c r="D185" s="80"/>
      <c r="E185" s="81"/>
      <c r="F185" s="79" t="str">
        <f t="shared" si="7"/>
        <v/>
      </c>
      <c r="G185" s="80"/>
      <c r="H185" s="81"/>
      <c r="I185" s="79" t="str">
        <f t="shared" si="8"/>
        <v/>
      </c>
    </row>
    <row r="186" spans="1:9" s="79" customFormat="1" ht="16.5">
      <c r="A186" s="77"/>
      <c r="B186" s="78"/>
      <c r="C186" s="79" t="str">
        <f t="shared" si="6"/>
        <v/>
      </c>
      <c r="D186" s="80"/>
      <c r="E186" s="81"/>
      <c r="F186" s="79" t="str">
        <f t="shared" si="7"/>
        <v/>
      </c>
      <c r="G186" s="80"/>
      <c r="H186" s="81"/>
      <c r="I186" s="79" t="str">
        <f t="shared" si="8"/>
        <v/>
      </c>
    </row>
    <row r="187" spans="1:9" s="79" customFormat="1" ht="16.5">
      <c r="A187" s="77"/>
      <c r="B187" s="78"/>
      <c r="C187" s="79" t="str">
        <f t="shared" si="6"/>
        <v/>
      </c>
      <c r="D187" s="80"/>
      <c r="E187" s="81"/>
      <c r="F187" s="79" t="str">
        <f t="shared" si="7"/>
        <v/>
      </c>
      <c r="G187" s="80"/>
      <c r="H187" s="81"/>
      <c r="I187" s="79" t="str">
        <f t="shared" si="8"/>
        <v/>
      </c>
    </row>
    <row r="188" spans="1:9" s="79" customFormat="1" ht="16.5">
      <c r="A188" s="77"/>
      <c r="B188" s="78"/>
      <c r="C188" s="79" t="str">
        <f t="shared" si="6"/>
        <v/>
      </c>
      <c r="D188" s="80"/>
      <c r="E188" s="81"/>
      <c r="F188" s="79" t="str">
        <f t="shared" si="7"/>
        <v/>
      </c>
      <c r="G188" s="80"/>
      <c r="H188" s="81"/>
      <c r="I188" s="79" t="str">
        <f t="shared" si="8"/>
        <v/>
      </c>
    </row>
    <row r="189" spans="1:9" s="79" customFormat="1" ht="16.5">
      <c r="A189" s="77"/>
      <c r="B189" s="78"/>
      <c r="C189" s="79" t="str">
        <f t="shared" si="6"/>
        <v/>
      </c>
      <c r="D189" s="80"/>
      <c r="E189" s="81"/>
      <c r="F189" s="79" t="str">
        <f t="shared" si="7"/>
        <v/>
      </c>
      <c r="G189" s="80"/>
      <c r="H189" s="81"/>
      <c r="I189" s="79" t="str">
        <f t="shared" si="8"/>
        <v/>
      </c>
    </row>
    <row r="190" spans="1:9" s="79" customFormat="1" ht="16.5">
      <c r="A190" s="77"/>
      <c r="B190" s="78"/>
      <c r="C190" s="79" t="str">
        <f t="shared" si="6"/>
        <v/>
      </c>
      <c r="D190" s="80"/>
      <c r="E190" s="81"/>
      <c r="F190" s="79" t="str">
        <f t="shared" si="7"/>
        <v/>
      </c>
      <c r="G190" s="80"/>
      <c r="H190" s="81"/>
      <c r="I190" s="79" t="str">
        <f t="shared" si="8"/>
        <v/>
      </c>
    </row>
    <row r="191" spans="1:9" s="79" customFormat="1" ht="16.5">
      <c r="A191" s="77"/>
      <c r="B191" s="78"/>
      <c r="C191" s="79" t="str">
        <f t="shared" si="6"/>
        <v/>
      </c>
      <c r="D191" s="80"/>
      <c r="E191" s="81"/>
      <c r="F191" s="79" t="str">
        <f t="shared" si="7"/>
        <v/>
      </c>
      <c r="G191" s="80"/>
      <c r="H191" s="81"/>
      <c r="I191" s="79" t="str">
        <f t="shared" si="8"/>
        <v/>
      </c>
    </row>
    <row r="192" spans="1:9" s="79" customFormat="1" ht="16.5">
      <c r="A192" s="77"/>
      <c r="B192" s="78"/>
      <c r="C192" s="79" t="str">
        <f t="shared" si="6"/>
        <v/>
      </c>
      <c r="D192" s="80"/>
      <c r="E192" s="81"/>
      <c r="F192" s="79" t="str">
        <f t="shared" si="7"/>
        <v/>
      </c>
      <c r="G192" s="80"/>
      <c r="H192" s="81"/>
      <c r="I192" s="79" t="str">
        <f t="shared" si="8"/>
        <v/>
      </c>
    </row>
    <row r="193" spans="1:9" s="79" customFormat="1" ht="16.5">
      <c r="A193" s="77"/>
      <c r="B193" s="78"/>
      <c r="C193" s="79" t="str">
        <f t="shared" si="6"/>
        <v/>
      </c>
      <c r="D193" s="80"/>
      <c r="E193" s="81"/>
      <c r="F193" s="79" t="str">
        <f t="shared" si="7"/>
        <v/>
      </c>
      <c r="G193" s="80"/>
      <c r="H193" s="81"/>
      <c r="I193" s="79" t="str">
        <f t="shared" si="8"/>
        <v/>
      </c>
    </row>
    <row r="194" spans="1:9" s="79" customFormat="1" ht="16.5">
      <c r="A194" s="77"/>
      <c r="B194" s="78"/>
      <c r="C194" s="79" t="str">
        <f t="shared" si="6"/>
        <v/>
      </c>
      <c r="D194" s="80"/>
      <c r="E194" s="81"/>
      <c r="F194" s="79" t="str">
        <f t="shared" si="7"/>
        <v/>
      </c>
      <c r="G194" s="80"/>
      <c r="H194" s="81"/>
      <c r="I194" s="79" t="str">
        <f t="shared" si="8"/>
        <v/>
      </c>
    </row>
    <row r="195" spans="1:9" s="79" customFormat="1" ht="16.5">
      <c r="A195" s="77"/>
      <c r="B195" s="78"/>
      <c r="C195" s="79" t="str">
        <f t="shared" si="6"/>
        <v/>
      </c>
      <c r="D195" s="80"/>
      <c r="E195" s="81"/>
      <c r="F195" s="79" t="str">
        <f t="shared" si="7"/>
        <v/>
      </c>
      <c r="G195" s="80"/>
      <c r="H195" s="81"/>
      <c r="I195" s="79" t="str">
        <f t="shared" si="8"/>
        <v/>
      </c>
    </row>
    <row r="196" spans="1:9" s="79" customFormat="1" ht="16.5">
      <c r="A196" s="77"/>
      <c r="B196" s="78"/>
      <c r="C196" s="79" t="str">
        <f t="shared" si="6"/>
        <v/>
      </c>
      <c r="D196" s="80"/>
      <c r="E196" s="81"/>
      <c r="F196" s="79" t="str">
        <f t="shared" si="7"/>
        <v/>
      </c>
      <c r="G196" s="80"/>
      <c r="H196" s="81"/>
      <c r="I196" s="79" t="str">
        <f t="shared" si="8"/>
        <v/>
      </c>
    </row>
    <row r="197" spans="1:9" s="79" customFormat="1" ht="16.5">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6.5">
      <c r="A198" s="77"/>
      <c r="B198" s="78"/>
      <c r="C198" s="79" t="str">
        <f t="shared" si="9"/>
        <v/>
      </c>
      <c r="D198" s="80"/>
      <c r="E198" s="81"/>
      <c r="F198" s="79" t="str">
        <f t="shared" si="10"/>
        <v/>
      </c>
      <c r="G198" s="80"/>
      <c r="H198" s="81"/>
      <c r="I198" s="79" t="str">
        <f t="shared" si="11"/>
        <v/>
      </c>
    </row>
    <row r="199" spans="1:9" s="79" customFormat="1" ht="16.5">
      <c r="A199" s="77"/>
      <c r="B199" s="78"/>
      <c r="C199" s="79" t="str">
        <f t="shared" si="9"/>
        <v/>
      </c>
      <c r="D199" s="80"/>
      <c r="E199" s="81"/>
      <c r="F199" s="79" t="str">
        <f t="shared" si="10"/>
        <v/>
      </c>
      <c r="G199" s="80"/>
      <c r="H199" s="81"/>
      <c r="I199" s="79" t="str">
        <f t="shared" si="11"/>
        <v/>
      </c>
    </row>
    <row r="200" spans="1:9" s="79" customFormat="1" ht="16.5">
      <c r="A200" s="77"/>
      <c r="B200" s="78"/>
      <c r="C200" s="79" t="str">
        <f t="shared" si="9"/>
        <v/>
      </c>
      <c r="D200" s="80"/>
      <c r="E200" s="81"/>
      <c r="F200" s="79" t="str">
        <f t="shared" si="10"/>
        <v/>
      </c>
      <c r="G200" s="80"/>
      <c r="H200" s="81"/>
      <c r="I200" s="79" t="str">
        <f t="shared" si="11"/>
        <v/>
      </c>
    </row>
    <row r="201" spans="1:9" s="79" customFormat="1" ht="16.5">
      <c r="A201" s="77"/>
      <c r="B201" s="78"/>
      <c r="C201" s="79" t="str">
        <f t="shared" si="9"/>
        <v/>
      </c>
      <c r="D201" s="80"/>
      <c r="E201" s="81"/>
      <c r="F201" s="79" t="str">
        <f t="shared" si="10"/>
        <v/>
      </c>
      <c r="G201" s="80"/>
      <c r="H201" s="81"/>
      <c r="I201" s="79" t="str">
        <f t="shared" si="11"/>
        <v/>
      </c>
    </row>
    <row r="202" spans="1:9" s="79" customFormat="1" ht="16.5">
      <c r="A202" s="77"/>
      <c r="B202" s="78"/>
      <c r="C202" s="79" t="str">
        <f t="shared" si="9"/>
        <v/>
      </c>
      <c r="D202" s="80"/>
      <c r="E202" s="81"/>
      <c r="F202" s="79" t="str">
        <f t="shared" si="10"/>
        <v/>
      </c>
      <c r="G202" s="80"/>
      <c r="H202" s="81"/>
      <c r="I202" s="79" t="str">
        <f t="shared" si="11"/>
        <v/>
      </c>
    </row>
    <row r="203" spans="1:9" s="79" customFormat="1" ht="16.5">
      <c r="A203" s="77"/>
      <c r="B203" s="78"/>
      <c r="C203" s="79" t="str">
        <f t="shared" si="9"/>
        <v/>
      </c>
      <c r="D203" s="80"/>
      <c r="E203" s="81"/>
      <c r="F203" s="79" t="str">
        <f t="shared" si="10"/>
        <v/>
      </c>
      <c r="G203" s="80"/>
      <c r="H203" s="81"/>
      <c r="I203" s="79" t="str">
        <f t="shared" si="11"/>
        <v/>
      </c>
    </row>
    <row r="204" spans="1:9" s="79" customFormat="1" ht="16.5">
      <c r="A204" s="77"/>
      <c r="B204" s="78"/>
      <c r="C204" s="79" t="str">
        <f t="shared" si="9"/>
        <v/>
      </c>
      <c r="D204" s="80"/>
      <c r="E204" s="81"/>
      <c r="F204" s="79" t="str">
        <f t="shared" si="10"/>
        <v/>
      </c>
      <c r="G204" s="80"/>
      <c r="H204" s="81"/>
      <c r="I204" s="79" t="str">
        <f t="shared" si="11"/>
        <v/>
      </c>
    </row>
    <row r="205" spans="1:9" s="79" customFormat="1" ht="16.5">
      <c r="A205" s="77"/>
      <c r="B205" s="78"/>
      <c r="C205" s="79" t="str">
        <f t="shared" si="9"/>
        <v/>
      </c>
      <c r="D205" s="80"/>
      <c r="E205" s="81"/>
      <c r="F205" s="79" t="str">
        <f t="shared" si="10"/>
        <v/>
      </c>
      <c r="G205" s="80"/>
      <c r="H205" s="81"/>
      <c r="I205" s="79" t="str">
        <f t="shared" si="11"/>
        <v/>
      </c>
    </row>
    <row r="206" spans="1:9" s="79" customFormat="1" ht="16.5">
      <c r="A206" s="77"/>
      <c r="B206" s="78"/>
      <c r="C206" s="79" t="str">
        <f t="shared" si="9"/>
        <v/>
      </c>
      <c r="D206" s="80"/>
      <c r="E206" s="81"/>
      <c r="F206" s="79" t="str">
        <f t="shared" si="10"/>
        <v/>
      </c>
      <c r="G206" s="80"/>
      <c r="H206" s="81"/>
      <c r="I206" s="79" t="str">
        <f t="shared" si="11"/>
        <v/>
      </c>
    </row>
    <row r="207" spans="1:9" s="79" customFormat="1" ht="16.5">
      <c r="A207" s="77"/>
      <c r="B207" s="78"/>
      <c r="C207" s="79" t="str">
        <f t="shared" si="9"/>
        <v/>
      </c>
      <c r="D207" s="80"/>
      <c r="E207" s="81"/>
      <c r="F207" s="79" t="str">
        <f t="shared" si="10"/>
        <v/>
      </c>
      <c r="G207" s="80"/>
      <c r="H207" s="81"/>
      <c r="I207" s="79" t="str">
        <f t="shared" si="11"/>
        <v/>
      </c>
    </row>
    <row r="208" spans="1:9" s="79" customFormat="1" ht="16.5">
      <c r="A208" s="77"/>
      <c r="B208" s="78"/>
      <c r="C208" s="79" t="str">
        <f t="shared" si="9"/>
        <v/>
      </c>
      <c r="D208" s="80"/>
      <c r="E208" s="81"/>
      <c r="F208" s="79" t="str">
        <f t="shared" si="10"/>
        <v/>
      </c>
      <c r="G208" s="80"/>
      <c r="H208" s="81"/>
      <c r="I208" s="79" t="str">
        <f t="shared" si="11"/>
        <v/>
      </c>
    </row>
    <row r="209" spans="1:9" s="79" customFormat="1" ht="16.5">
      <c r="A209" s="77"/>
      <c r="B209" s="78"/>
      <c r="C209" s="79" t="str">
        <f t="shared" si="9"/>
        <v/>
      </c>
      <c r="D209" s="80"/>
      <c r="E209" s="81"/>
      <c r="F209" s="79" t="str">
        <f t="shared" si="10"/>
        <v/>
      </c>
      <c r="G209" s="80"/>
      <c r="H209" s="81"/>
      <c r="I209" s="79" t="str">
        <f t="shared" si="11"/>
        <v/>
      </c>
    </row>
    <row r="210" spans="1:9" s="79" customFormat="1" ht="16.5">
      <c r="A210" s="77"/>
      <c r="B210" s="78"/>
      <c r="C210" s="79" t="str">
        <f t="shared" si="9"/>
        <v/>
      </c>
      <c r="D210" s="80"/>
      <c r="E210" s="81"/>
      <c r="F210" s="79" t="str">
        <f t="shared" si="10"/>
        <v/>
      </c>
      <c r="G210" s="80"/>
      <c r="H210" s="81"/>
      <c r="I210" s="79" t="str">
        <f t="shared" si="11"/>
        <v/>
      </c>
    </row>
    <row r="211" spans="1:9" s="79" customFormat="1" ht="16.5">
      <c r="A211" s="77"/>
      <c r="B211" s="78"/>
      <c r="C211" s="79" t="str">
        <f t="shared" si="9"/>
        <v/>
      </c>
      <c r="D211" s="80"/>
      <c r="E211" s="81"/>
      <c r="F211" s="79" t="str">
        <f t="shared" si="10"/>
        <v/>
      </c>
      <c r="G211" s="80"/>
      <c r="H211" s="81"/>
      <c r="I211" s="79" t="str">
        <f t="shared" si="11"/>
        <v/>
      </c>
    </row>
    <row r="212" spans="1:9" s="79" customFormat="1" ht="16.5">
      <c r="A212" s="77"/>
      <c r="B212" s="78"/>
      <c r="C212" s="79" t="str">
        <f t="shared" si="9"/>
        <v/>
      </c>
      <c r="D212" s="80"/>
      <c r="E212" s="81"/>
      <c r="F212" s="79" t="str">
        <f t="shared" si="10"/>
        <v/>
      </c>
      <c r="G212" s="80"/>
      <c r="H212" s="81"/>
      <c r="I212" s="79" t="str">
        <f t="shared" si="11"/>
        <v/>
      </c>
    </row>
    <row r="213" spans="1:9" s="79" customFormat="1" ht="16.5">
      <c r="A213" s="77"/>
      <c r="B213" s="78"/>
      <c r="C213" s="79" t="str">
        <f t="shared" si="9"/>
        <v/>
      </c>
      <c r="D213" s="80"/>
      <c r="E213" s="81"/>
      <c r="F213" s="79" t="str">
        <f t="shared" si="10"/>
        <v/>
      </c>
      <c r="G213" s="80"/>
      <c r="H213" s="81"/>
      <c r="I213" s="79" t="str">
        <f t="shared" si="11"/>
        <v/>
      </c>
    </row>
    <row r="214" spans="1:9" s="79" customFormat="1" ht="16.5">
      <c r="A214" s="77"/>
      <c r="B214" s="78"/>
      <c r="C214" s="79" t="str">
        <f t="shared" si="9"/>
        <v/>
      </c>
      <c r="D214" s="80"/>
      <c r="E214" s="81"/>
      <c r="F214" s="79" t="str">
        <f t="shared" si="10"/>
        <v/>
      </c>
      <c r="G214" s="80"/>
      <c r="H214" s="81"/>
      <c r="I214" s="79" t="str">
        <f t="shared" si="11"/>
        <v/>
      </c>
    </row>
    <row r="215" spans="1:9" s="79" customFormat="1" ht="16.5">
      <c r="A215" s="77"/>
      <c r="B215" s="78"/>
      <c r="C215" s="79" t="str">
        <f t="shared" si="9"/>
        <v/>
      </c>
      <c r="D215" s="80"/>
      <c r="E215" s="81"/>
      <c r="F215" s="79" t="str">
        <f t="shared" si="10"/>
        <v/>
      </c>
      <c r="G215" s="80"/>
      <c r="H215" s="81"/>
      <c r="I215" s="79" t="str">
        <f t="shared" si="11"/>
        <v/>
      </c>
    </row>
    <row r="216" spans="1:9" s="79" customFormat="1" ht="16.5">
      <c r="A216" s="77"/>
      <c r="B216" s="78"/>
      <c r="C216" s="79" t="str">
        <f t="shared" si="9"/>
        <v/>
      </c>
      <c r="D216" s="80"/>
      <c r="E216" s="81"/>
      <c r="F216" s="79" t="str">
        <f t="shared" si="10"/>
        <v/>
      </c>
      <c r="G216" s="80"/>
      <c r="H216" s="81"/>
      <c r="I216" s="79" t="str">
        <f t="shared" si="11"/>
        <v/>
      </c>
    </row>
    <row r="217" spans="1:9" s="79" customFormat="1" ht="16.5">
      <c r="A217" s="77"/>
      <c r="B217" s="78"/>
      <c r="C217" s="79" t="str">
        <f t="shared" si="9"/>
        <v/>
      </c>
      <c r="D217" s="80"/>
      <c r="E217" s="81"/>
      <c r="F217" s="79" t="str">
        <f t="shared" si="10"/>
        <v/>
      </c>
      <c r="G217" s="80"/>
      <c r="H217" s="81"/>
      <c r="I217" s="79" t="str">
        <f t="shared" si="11"/>
        <v/>
      </c>
    </row>
    <row r="218" spans="1:9" s="79" customFormat="1" ht="16.5">
      <c r="A218" s="77"/>
      <c r="B218" s="78"/>
      <c r="C218" s="79" t="str">
        <f t="shared" si="9"/>
        <v/>
      </c>
      <c r="D218" s="80"/>
      <c r="E218" s="81"/>
      <c r="F218" s="79" t="str">
        <f t="shared" si="10"/>
        <v/>
      </c>
      <c r="G218" s="80"/>
      <c r="H218" s="81"/>
      <c r="I218" s="79" t="str">
        <f t="shared" si="11"/>
        <v/>
      </c>
    </row>
    <row r="219" spans="1:9" s="79" customFormat="1" ht="16.5">
      <c r="A219" s="77"/>
      <c r="B219" s="78"/>
      <c r="C219" s="79" t="str">
        <f t="shared" si="9"/>
        <v/>
      </c>
      <c r="D219" s="80"/>
      <c r="E219" s="81"/>
      <c r="F219" s="79" t="str">
        <f t="shared" si="10"/>
        <v/>
      </c>
      <c r="G219" s="80"/>
      <c r="H219" s="81"/>
      <c r="I219" s="79" t="str">
        <f t="shared" si="11"/>
        <v/>
      </c>
    </row>
    <row r="220" spans="1:9" s="79" customFormat="1" ht="16.5">
      <c r="A220" s="77"/>
      <c r="B220" s="78"/>
      <c r="C220" s="79" t="str">
        <f t="shared" si="9"/>
        <v/>
      </c>
      <c r="D220" s="80"/>
      <c r="E220" s="81"/>
      <c r="F220" s="79" t="str">
        <f t="shared" si="10"/>
        <v/>
      </c>
      <c r="G220" s="80"/>
      <c r="H220" s="81"/>
      <c r="I220" s="79" t="str">
        <f t="shared" si="11"/>
        <v/>
      </c>
    </row>
    <row r="221" spans="1:9" s="79" customFormat="1" ht="16.5">
      <c r="A221" s="77"/>
      <c r="B221" s="78"/>
      <c r="C221" s="79" t="str">
        <f t="shared" si="9"/>
        <v/>
      </c>
      <c r="D221" s="80"/>
      <c r="E221" s="81"/>
      <c r="F221" s="79" t="str">
        <f t="shared" si="10"/>
        <v/>
      </c>
      <c r="G221" s="80"/>
      <c r="H221" s="81"/>
      <c r="I221" s="79" t="str">
        <f t="shared" si="11"/>
        <v/>
      </c>
    </row>
    <row r="222" spans="1:9" s="79" customFormat="1" ht="16.5">
      <c r="A222" s="77"/>
      <c r="B222" s="78"/>
      <c r="C222" s="79" t="str">
        <f t="shared" si="9"/>
        <v/>
      </c>
      <c r="D222" s="80"/>
      <c r="E222" s="81"/>
      <c r="F222" s="79" t="str">
        <f t="shared" si="10"/>
        <v/>
      </c>
      <c r="G222" s="80"/>
      <c r="H222" s="81"/>
      <c r="I222" s="79" t="str">
        <f t="shared" si="11"/>
        <v/>
      </c>
    </row>
    <row r="223" spans="1:9" s="79" customFormat="1" ht="16.5">
      <c r="A223" s="77"/>
      <c r="B223" s="78"/>
      <c r="C223" s="79" t="str">
        <f t="shared" si="9"/>
        <v/>
      </c>
      <c r="D223" s="80"/>
      <c r="E223" s="81"/>
      <c r="F223" s="79" t="str">
        <f t="shared" si="10"/>
        <v/>
      </c>
      <c r="G223" s="80"/>
      <c r="H223" s="81"/>
      <c r="I223" s="79" t="str">
        <f t="shared" si="11"/>
        <v/>
      </c>
    </row>
    <row r="224" spans="1:9" s="79" customFormat="1" ht="16.5">
      <c r="A224" s="77"/>
      <c r="B224" s="78"/>
      <c r="C224" s="79" t="str">
        <f t="shared" si="9"/>
        <v/>
      </c>
      <c r="D224" s="80"/>
      <c r="E224" s="81"/>
      <c r="F224" s="79" t="str">
        <f t="shared" si="10"/>
        <v/>
      </c>
      <c r="G224" s="80"/>
      <c r="H224" s="81"/>
      <c r="I224" s="79" t="str">
        <f t="shared" si="11"/>
        <v/>
      </c>
    </row>
    <row r="225" spans="1:9" s="79" customFormat="1" ht="16.5">
      <c r="A225" s="77"/>
      <c r="B225" s="78"/>
      <c r="C225" s="79" t="str">
        <f t="shared" si="9"/>
        <v/>
      </c>
      <c r="D225" s="80"/>
      <c r="E225" s="81"/>
      <c r="F225" s="79" t="str">
        <f t="shared" si="10"/>
        <v/>
      </c>
      <c r="G225" s="80"/>
      <c r="H225" s="81"/>
      <c r="I225" s="79" t="str">
        <f t="shared" si="11"/>
        <v/>
      </c>
    </row>
    <row r="226" spans="1:9" s="79" customFormat="1" ht="16.5">
      <c r="A226" s="77"/>
      <c r="B226" s="78"/>
      <c r="C226" s="79" t="str">
        <f t="shared" si="9"/>
        <v/>
      </c>
      <c r="D226" s="80"/>
      <c r="E226" s="81"/>
      <c r="F226" s="79" t="str">
        <f t="shared" si="10"/>
        <v/>
      </c>
      <c r="G226" s="80"/>
      <c r="H226" s="81"/>
      <c r="I226" s="79" t="str">
        <f t="shared" si="11"/>
        <v/>
      </c>
    </row>
    <row r="227" spans="1:9" s="79" customFormat="1" ht="16.5">
      <c r="A227" s="77"/>
      <c r="B227" s="78"/>
      <c r="C227" s="79" t="str">
        <f t="shared" si="9"/>
        <v/>
      </c>
      <c r="D227" s="80"/>
      <c r="E227" s="81"/>
      <c r="F227" s="79" t="str">
        <f t="shared" si="10"/>
        <v/>
      </c>
      <c r="G227" s="80"/>
      <c r="H227" s="81"/>
      <c r="I227" s="79" t="str">
        <f t="shared" si="11"/>
        <v/>
      </c>
    </row>
    <row r="228" spans="1:9" s="79" customFormat="1" ht="16.5">
      <c r="A228" s="77"/>
      <c r="B228" s="78"/>
      <c r="C228" s="79" t="str">
        <f t="shared" si="9"/>
        <v/>
      </c>
      <c r="D228" s="80"/>
      <c r="E228" s="81"/>
      <c r="F228" s="79" t="str">
        <f t="shared" si="10"/>
        <v/>
      </c>
      <c r="G228" s="80"/>
      <c r="H228" s="81"/>
      <c r="I228" s="79" t="str">
        <f t="shared" si="11"/>
        <v/>
      </c>
    </row>
    <row r="229" spans="1:9" s="79" customFormat="1" ht="16.5">
      <c r="A229" s="77"/>
      <c r="B229" s="78"/>
      <c r="C229" s="79" t="str">
        <f t="shared" si="9"/>
        <v/>
      </c>
      <c r="D229" s="80"/>
      <c r="E229" s="81"/>
      <c r="F229" s="79" t="str">
        <f t="shared" si="10"/>
        <v/>
      </c>
      <c r="G229" s="80"/>
      <c r="H229" s="81"/>
      <c r="I229" s="79" t="str">
        <f t="shared" si="11"/>
        <v/>
      </c>
    </row>
    <row r="230" spans="1:9" s="79" customFormat="1" ht="16.5">
      <c r="A230" s="77"/>
      <c r="B230" s="78"/>
      <c r="C230" s="79" t="str">
        <f t="shared" si="9"/>
        <v/>
      </c>
      <c r="D230" s="80"/>
      <c r="E230" s="81"/>
      <c r="F230" s="79" t="str">
        <f t="shared" si="10"/>
        <v/>
      </c>
      <c r="G230" s="80"/>
      <c r="H230" s="81"/>
      <c r="I230" s="79" t="str">
        <f t="shared" si="11"/>
        <v/>
      </c>
    </row>
    <row r="231" spans="1:9" s="79" customFormat="1" ht="16.5">
      <c r="A231" s="77"/>
      <c r="B231" s="78"/>
      <c r="C231" s="79" t="str">
        <f t="shared" si="9"/>
        <v/>
      </c>
      <c r="D231" s="80"/>
      <c r="E231" s="81"/>
      <c r="F231" s="79" t="str">
        <f t="shared" si="10"/>
        <v/>
      </c>
      <c r="G231" s="80"/>
      <c r="H231" s="81"/>
      <c r="I231" s="79" t="str">
        <f t="shared" si="11"/>
        <v/>
      </c>
    </row>
    <row r="232" spans="1:9" s="79" customFormat="1" ht="16.5">
      <c r="A232" s="77"/>
      <c r="B232" s="78"/>
      <c r="C232" s="79" t="str">
        <f t="shared" si="9"/>
        <v/>
      </c>
      <c r="D232" s="80"/>
      <c r="E232" s="81"/>
      <c r="F232" s="79" t="str">
        <f t="shared" si="10"/>
        <v/>
      </c>
      <c r="G232" s="80"/>
      <c r="H232" s="81"/>
      <c r="I232" s="79" t="str">
        <f t="shared" si="11"/>
        <v/>
      </c>
    </row>
    <row r="233" spans="1:9" s="79" customFormat="1" ht="16.5">
      <c r="A233" s="77"/>
      <c r="B233" s="78"/>
      <c r="C233" s="79" t="str">
        <f t="shared" si="9"/>
        <v/>
      </c>
      <c r="D233" s="80"/>
      <c r="E233" s="81"/>
      <c r="F233" s="79" t="str">
        <f t="shared" si="10"/>
        <v/>
      </c>
      <c r="G233" s="80"/>
      <c r="H233" s="81"/>
      <c r="I233" s="79" t="str">
        <f t="shared" si="11"/>
        <v/>
      </c>
    </row>
    <row r="234" spans="1:9" s="79" customFormat="1" ht="16.5">
      <c r="A234" s="77"/>
      <c r="B234" s="78"/>
      <c r="C234" s="79" t="str">
        <f t="shared" si="9"/>
        <v/>
      </c>
      <c r="D234" s="80"/>
      <c r="E234" s="81"/>
      <c r="F234" s="79" t="str">
        <f t="shared" si="10"/>
        <v/>
      </c>
      <c r="G234" s="80"/>
      <c r="H234" s="81"/>
      <c r="I234" s="79" t="str">
        <f t="shared" si="11"/>
        <v/>
      </c>
    </row>
    <row r="235" spans="1:9" s="79" customFormat="1" ht="16.5">
      <c r="A235" s="77"/>
      <c r="B235" s="78"/>
      <c r="C235" s="79" t="str">
        <f t="shared" si="9"/>
        <v/>
      </c>
      <c r="D235" s="80"/>
      <c r="E235" s="81"/>
      <c r="F235" s="79" t="str">
        <f t="shared" si="10"/>
        <v/>
      </c>
      <c r="G235" s="80"/>
      <c r="H235" s="81"/>
      <c r="I235" s="79" t="str">
        <f t="shared" si="11"/>
        <v/>
      </c>
    </row>
    <row r="236" spans="1:9" s="79" customFormat="1" ht="16.5">
      <c r="A236" s="77"/>
      <c r="B236" s="78"/>
      <c r="C236" s="79" t="str">
        <f t="shared" si="9"/>
        <v/>
      </c>
      <c r="D236" s="80"/>
      <c r="E236" s="81"/>
      <c r="F236" s="79" t="str">
        <f t="shared" si="10"/>
        <v/>
      </c>
      <c r="G236" s="80"/>
      <c r="H236" s="81"/>
      <c r="I236" s="79" t="str">
        <f t="shared" si="11"/>
        <v/>
      </c>
    </row>
    <row r="237" spans="1:9" s="79" customFormat="1" ht="16.5">
      <c r="A237" s="77"/>
      <c r="B237" s="78"/>
      <c r="C237" s="79" t="str">
        <f t="shared" si="9"/>
        <v/>
      </c>
      <c r="D237" s="80"/>
      <c r="E237" s="81"/>
      <c r="F237" s="79" t="str">
        <f t="shared" si="10"/>
        <v/>
      </c>
      <c r="G237" s="80"/>
      <c r="H237" s="81"/>
      <c r="I237" s="79" t="str">
        <f t="shared" si="11"/>
        <v/>
      </c>
    </row>
    <row r="238" spans="1:9" s="79" customFormat="1" ht="16.5">
      <c r="A238" s="77"/>
      <c r="B238" s="78"/>
      <c r="C238" s="79" t="str">
        <f t="shared" si="9"/>
        <v/>
      </c>
      <c r="D238" s="80"/>
      <c r="E238" s="81"/>
      <c r="F238" s="79" t="str">
        <f t="shared" si="10"/>
        <v/>
      </c>
      <c r="G238" s="80"/>
      <c r="H238" s="81"/>
      <c r="I238" s="79" t="str">
        <f t="shared" si="11"/>
        <v/>
      </c>
    </row>
    <row r="239" spans="1:9" s="79" customFormat="1" ht="16.5">
      <c r="A239" s="77"/>
      <c r="B239" s="78"/>
      <c r="C239" s="79" t="str">
        <f t="shared" si="9"/>
        <v/>
      </c>
      <c r="D239" s="80"/>
      <c r="E239" s="81"/>
      <c r="F239" s="79" t="str">
        <f t="shared" si="10"/>
        <v/>
      </c>
      <c r="G239" s="80"/>
      <c r="H239" s="81"/>
      <c r="I239" s="79" t="str">
        <f t="shared" si="11"/>
        <v/>
      </c>
    </row>
    <row r="240" spans="1:9" s="79" customFormat="1" ht="16.5">
      <c r="A240" s="77"/>
      <c r="B240" s="78"/>
      <c r="C240" s="79" t="str">
        <f t="shared" si="9"/>
        <v/>
      </c>
      <c r="D240" s="80"/>
      <c r="E240" s="81"/>
      <c r="F240" s="79" t="str">
        <f t="shared" si="10"/>
        <v/>
      </c>
      <c r="G240" s="80"/>
      <c r="H240" s="81"/>
      <c r="I240" s="79" t="str">
        <f t="shared" si="11"/>
        <v/>
      </c>
    </row>
    <row r="241" spans="1:9" s="79" customFormat="1" ht="16.5">
      <c r="A241" s="77"/>
      <c r="B241" s="78"/>
      <c r="C241" s="79" t="str">
        <f t="shared" si="9"/>
        <v/>
      </c>
      <c r="D241" s="80"/>
      <c r="E241" s="81"/>
      <c r="F241" s="79" t="str">
        <f t="shared" si="10"/>
        <v/>
      </c>
      <c r="G241" s="80"/>
      <c r="H241" s="81"/>
      <c r="I241" s="79" t="str">
        <f t="shared" si="11"/>
        <v/>
      </c>
    </row>
    <row r="242" spans="1:9" s="79" customFormat="1" ht="16.5">
      <c r="A242" s="80"/>
      <c r="B242" s="81"/>
      <c r="C242" s="79" t="str">
        <f t="shared" si="9"/>
        <v/>
      </c>
      <c r="D242" s="80"/>
      <c r="E242" s="81"/>
      <c r="F242" s="79" t="str">
        <f t="shared" si="10"/>
        <v/>
      </c>
      <c r="G242" s="80"/>
      <c r="H242" s="81"/>
      <c r="I242" s="79" t="str">
        <f t="shared" si="11"/>
        <v/>
      </c>
    </row>
    <row r="243" spans="1:9" s="79" customFormat="1" ht="16.5">
      <c r="A243" s="80"/>
      <c r="B243" s="81"/>
      <c r="C243" s="79" t="str">
        <f t="shared" si="9"/>
        <v/>
      </c>
      <c r="D243" s="80"/>
      <c r="E243" s="81"/>
      <c r="F243" s="79" t="str">
        <f t="shared" si="10"/>
        <v/>
      </c>
      <c r="G243" s="80"/>
      <c r="H243" s="81"/>
      <c r="I243" s="79" t="str">
        <f t="shared" si="11"/>
        <v/>
      </c>
    </row>
    <row r="244" spans="1:9" s="79" customFormat="1" ht="16.5">
      <c r="A244" s="80"/>
      <c r="B244" s="81"/>
      <c r="C244" s="79" t="str">
        <f t="shared" si="9"/>
        <v/>
      </c>
      <c r="D244" s="80"/>
      <c r="E244" s="81"/>
      <c r="F244" s="79" t="str">
        <f t="shared" si="10"/>
        <v/>
      </c>
      <c r="G244" s="80"/>
      <c r="H244" s="81"/>
      <c r="I244" s="79" t="str">
        <f t="shared" si="11"/>
        <v/>
      </c>
    </row>
    <row r="245" spans="1:9" s="79" customFormat="1" ht="16.5">
      <c r="A245" s="80"/>
      <c r="B245" s="81"/>
      <c r="C245" s="79" t="str">
        <f t="shared" si="9"/>
        <v/>
      </c>
      <c r="D245" s="80"/>
      <c r="E245" s="81"/>
      <c r="F245" s="79" t="str">
        <f t="shared" si="10"/>
        <v/>
      </c>
      <c r="G245" s="80"/>
      <c r="H245" s="81"/>
      <c r="I245" s="79" t="str">
        <f t="shared" si="11"/>
        <v/>
      </c>
    </row>
    <row r="246" spans="1:9" s="79" customFormat="1" ht="16.5">
      <c r="A246" s="80"/>
      <c r="B246" s="81"/>
      <c r="C246" s="79" t="str">
        <f t="shared" si="9"/>
        <v/>
      </c>
      <c r="D246" s="80"/>
      <c r="E246" s="81"/>
      <c r="F246" s="79" t="str">
        <f t="shared" si="10"/>
        <v/>
      </c>
      <c r="G246" s="80"/>
      <c r="H246" s="81"/>
      <c r="I246" s="79" t="str">
        <f t="shared" si="11"/>
        <v/>
      </c>
    </row>
    <row r="247" spans="1:9" s="79" customFormat="1" ht="16.5">
      <c r="A247" s="80"/>
      <c r="B247" s="81"/>
      <c r="C247" s="79" t="str">
        <f t="shared" si="9"/>
        <v/>
      </c>
      <c r="D247" s="80"/>
      <c r="E247" s="81"/>
      <c r="F247" s="79" t="str">
        <f t="shared" si="10"/>
        <v/>
      </c>
      <c r="G247" s="80"/>
      <c r="H247" s="81"/>
      <c r="I247" s="79" t="str">
        <f t="shared" si="11"/>
        <v/>
      </c>
    </row>
    <row r="248" spans="1:9" s="79" customFormat="1" ht="16.5">
      <c r="A248" s="80"/>
      <c r="B248" s="81"/>
      <c r="C248" s="79" t="str">
        <f t="shared" si="9"/>
        <v/>
      </c>
      <c r="D248" s="80"/>
      <c r="E248" s="81"/>
      <c r="F248" s="79" t="str">
        <f t="shared" si="10"/>
        <v/>
      </c>
      <c r="G248" s="80"/>
      <c r="H248" s="81"/>
      <c r="I248" s="79" t="str">
        <f t="shared" si="11"/>
        <v/>
      </c>
    </row>
    <row r="249" spans="1:9" s="79" customFormat="1" ht="16.5">
      <c r="A249" s="80"/>
      <c r="B249" s="81"/>
      <c r="C249" s="79" t="str">
        <f t="shared" si="9"/>
        <v/>
      </c>
      <c r="D249" s="80"/>
      <c r="E249" s="81"/>
      <c r="F249" s="79" t="str">
        <f t="shared" si="10"/>
        <v/>
      </c>
      <c r="G249" s="80"/>
      <c r="H249" s="81"/>
      <c r="I249" s="79" t="str">
        <f t="shared" si="11"/>
        <v/>
      </c>
    </row>
    <row r="250" spans="1:9" s="79" customFormat="1" ht="16.5">
      <c r="A250" s="80"/>
      <c r="B250" s="81"/>
      <c r="C250" s="79" t="str">
        <f t="shared" si="9"/>
        <v/>
      </c>
      <c r="D250" s="80"/>
      <c r="E250" s="81"/>
      <c r="F250" s="79" t="str">
        <f t="shared" si="10"/>
        <v/>
      </c>
      <c r="G250" s="80"/>
      <c r="H250" s="81"/>
      <c r="I250" s="79" t="str">
        <f t="shared" si="11"/>
        <v/>
      </c>
    </row>
    <row r="251" spans="1:9" s="79" customFormat="1" ht="16.5">
      <c r="A251" s="80"/>
      <c r="B251" s="81"/>
      <c r="C251" s="79" t="str">
        <f t="shared" si="9"/>
        <v/>
      </c>
      <c r="D251" s="80"/>
      <c r="E251" s="81"/>
      <c r="F251" s="79" t="str">
        <f t="shared" si="10"/>
        <v/>
      </c>
      <c r="G251" s="80"/>
      <c r="H251" s="81"/>
      <c r="I251" s="79" t="str">
        <f t="shared" si="11"/>
        <v/>
      </c>
    </row>
    <row r="252" spans="1:9" s="79" customFormat="1" ht="16.5">
      <c r="A252" s="80"/>
      <c r="B252" s="81"/>
      <c r="C252" s="79" t="str">
        <f t="shared" si="9"/>
        <v/>
      </c>
      <c r="D252" s="80"/>
      <c r="E252" s="81"/>
      <c r="F252" s="79" t="str">
        <f t="shared" si="10"/>
        <v/>
      </c>
      <c r="G252" s="80"/>
      <c r="H252" s="81"/>
      <c r="I252" s="79" t="str">
        <f t="shared" si="11"/>
        <v/>
      </c>
    </row>
    <row r="253" spans="1:9" s="79" customFormat="1" ht="16.5">
      <c r="A253" s="80"/>
      <c r="B253" s="81"/>
      <c r="C253" s="79" t="str">
        <f t="shared" si="9"/>
        <v/>
      </c>
      <c r="D253" s="80"/>
      <c r="E253" s="81"/>
      <c r="F253" s="79" t="str">
        <f t="shared" si="10"/>
        <v/>
      </c>
      <c r="G253" s="80"/>
      <c r="H253" s="81"/>
      <c r="I253" s="79" t="str">
        <f t="shared" si="11"/>
        <v/>
      </c>
    </row>
    <row r="254" spans="1:9" s="79" customFormat="1" ht="16.5">
      <c r="A254" s="80"/>
      <c r="B254" s="81"/>
      <c r="C254" s="79" t="str">
        <f t="shared" si="9"/>
        <v/>
      </c>
      <c r="D254" s="80"/>
      <c r="E254" s="81"/>
      <c r="F254" s="79" t="str">
        <f t="shared" si="10"/>
        <v/>
      </c>
      <c r="G254" s="80"/>
      <c r="H254" s="81"/>
      <c r="I254" s="79" t="str">
        <f t="shared" si="11"/>
        <v/>
      </c>
    </row>
    <row r="255" spans="1:9" s="79" customFormat="1" ht="16.5">
      <c r="A255" s="80"/>
      <c r="B255" s="81"/>
      <c r="C255" s="79" t="str">
        <f t="shared" si="9"/>
        <v/>
      </c>
      <c r="D255" s="80"/>
      <c r="E255" s="81"/>
      <c r="F255" s="79" t="str">
        <f t="shared" si="10"/>
        <v/>
      </c>
      <c r="G255" s="80"/>
      <c r="H255" s="81"/>
      <c r="I255" s="79" t="str">
        <f t="shared" si="11"/>
        <v/>
      </c>
    </row>
    <row r="256" spans="1:9" s="79" customFormat="1" ht="16.5">
      <c r="A256" s="80"/>
      <c r="B256" s="81"/>
      <c r="C256" s="79" t="str">
        <f t="shared" si="9"/>
        <v/>
      </c>
      <c r="D256" s="80"/>
      <c r="E256" s="81"/>
      <c r="F256" s="79" t="str">
        <f t="shared" si="10"/>
        <v/>
      </c>
      <c r="G256" s="80"/>
      <c r="H256" s="81"/>
      <c r="I256" s="79" t="str">
        <f t="shared" si="11"/>
        <v/>
      </c>
    </row>
    <row r="257" spans="1:9" s="79" customFormat="1" ht="16.5">
      <c r="A257" s="80"/>
      <c r="B257" s="81"/>
      <c r="C257" s="79" t="str">
        <f t="shared" si="9"/>
        <v/>
      </c>
      <c r="D257" s="80"/>
      <c r="E257" s="81"/>
      <c r="F257" s="79" t="str">
        <f t="shared" si="10"/>
        <v/>
      </c>
      <c r="G257" s="80"/>
      <c r="H257" s="81"/>
      <c r="I257" s="79" t="str">
        <f t="shared" si="11"/>
        <v/>
      </c>
    </row>
    <row r="258" spans="1:9" s="79" customFormat="1" ht="16.5">
      <c r="A258" s="80"/>
      <c r="B258" s="81"/>
      <c r="C258" s="79" t="str">
        <f t="shared" si="9"/>
        <v/>
      </c>
      <c r="D258" s="80"/>
      <c r="E258" s="81"/>
      <c r="F258" s="79" t="str">
        <f t="shared" si="10"/>
        <v/>
      </c>
      <c r="G258" s="80"/>
      <c r="H258" s="81"/>
      <c r="I258" s="79" t="str">
        <f t="shared" si="11"/>
        <v/>
      </c>
    </row>
    <row r="259" spans="1:9" s="79" customFormat="1" ht="16.5">
      <c r="A259" s="80"/>
      <c r="B259" s="81"/>
      <c r="C259" s="79" t="str">
        <f t="shared" si="9"/>
        <v/>
      </c>
      <c r="D259" s="80"/>
      <c r="E259" s="81"/>
      <c r="F259" s="79" t="str">
        <f t="shared" si="10"/>
        <v/>
      </c>
      <c r="G259" s="80"/>
      <c r="H259" s="81"/>
      <c r="I259" s="79" t="str">
        <f t="shared" si="11"/>
        <v/>
      </c>
    </row>
    <row r="260" spans="1:9" s="79" customFormat="1" ht="16.5">
      <c r="A260" s="80"/>
      <c r="B260" s="81"/>
      <c r="C260" s="79" t="str">
        <f t="shared" si="9"/>
        <v/>
      </c>
      <c r="D260" s="80"/>
      <c r="E260" s="81"/>
      <c r="F260" s="79" t="str">
        <f t="shared" si="10"/>
        <v/>
      </c>
      <c r="G260" s="80"/>
      <c r="H260" s="81"/>
      <c r="I260" s="79" t="str">
        <f t="shared" si="11"/>
        <v/>
      </c>
    </row>
    <row r="261" spans="1:9" s="79" customFormat="1" ht="16.5">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6.5">
      <c r="A262" s="80"/>
      <c r="B262" s="81"/>
      <c r="C262" s="79" t="str">
        <f t="shared" si="12"/>
        <v/>
      </c>
      <c r="D262" s="80"/>
      <c r="E262" s="81"/>
      <c r="F262" s="79" t="str">
        <f t="shared" si="13"/>
        <v/>
      </c>
      <c r="G262" s="80"/>
      <c r="H262" s="81"/>
      <c r="I262" s="79" t="str">
        <f t="shared" si="14"/>
        <v/>
      </c>
    </row>
    <row r="263" spans="1:9" s="79" customFormat="1" ht="16.5">
      <c r="A263" s="80"/>
      <c r="B263" s="81"/>
      <c r="C263" s="79" t="str">
        <f t="shared" si="12"/>
        <v/>
      </c>
      <c r="D263" s="80"/>
      <c r="E263" s="81"/>
      <c r="F263" s="79" t="str">
        <f t="shared" si="13"/>
        <v/>
      </c>
      <c r="G263" s="80"/>
      <c r="H263" s="81"/>
      <c r="I263" s="79" t="str">
        <f t="shared" si="14"/>
        <v/>
      </c>
    </row>
    <row r="264" spans="1:9" s="79" customFormat="1" ht="16.5">
      <c r="A264" s="80"/>
      <c r="B264" s="81"/>
      <c r="C264" s="79" t="str">
        <f t="shared" si="12"/>
        <v/>
      </c>
      <c r="D264" s="80"/>
      <c r="E264" s="81"/>
      <c r="F264" s="79" t="str">
        <f t="shared" si="13"/>
        <v/>
      </c>
      <c r="G264" s="80"/>
      <c r="H264" s="81"/>
      <c r="I264" s="79" t="str">
        <f t="shared" si="14"/>
        <v/>
      </c>
    </row>
    <row r="265" spans="1:9" s="79" customFormat="1" ht="16.5">
      <c r="A265" s="80"/>
      <c r="B265" s="81"/>
      <c r="C265" s="79" t="str">
        <f t="shared" si="12"/>
        <v/>
      </c>
      <c r="D265" s="80"/>
      <c r="E265" s="81"/>
      <c r="F265" s="79" t="str">
        <f t="shared" si="13"/>
        <v/>
      </c>
      <c r="G265" s="80"/>
      <c r="H265" s="81"/>
      <c r="I265" s="79" t="str">
        <f t="shared" si="14"/>
        <v/>
      </c>
    </row>
    <row r="266" spans="1:9" s="79" customFormat="1" ht="16.5">
      <c r="A266" s="80"/>
      <c r="B266" s="81"/>
      <c r="C266" s="79" t="str">
        <f t="shared" si="12"/>
        <v/>
      </c>
      <c r="D266" s="80"/>
      <c r="E266" s="81"/>
      <c r="F266" s="79" t="str">
        <f t="shared" si="13"/>
        <v/>
      </c>
      <c r="G266" s="80"/>
      <c r="H266" s="81"/>
      <c r="I266" s="79" t="str">
        <f t="shared" si="14"/>
        <v/>
      </c>
    </row>
    <row r="267" spans="1:9" s="79" customFormat="1" ht="16.5">
      <c r="A267" s="80"/>
      <c r="B267" s="81"/>
      <c r="C267" s="79" t="str">
        <f t="shared" si="12"/>
        <v/>
      </c>
      <c r="D267" s="80"/>
      <c r="E267" s="81"/>
      <c r="F267" s="79" t="str">
        <f t="shared" si="13"/>
        <v/>
      </c>
      <c r="G267" s="80"/>
      <c r="H267" s="81"/>
      <c r="I267" s="79" t="str">
        <f t="shared" si="14"/>
        <v/>
      </c>
    </row>
    <row r="268" spans="1:9" s="79" customFormat="1" ht="16.5">
      <c r="A268" s="80"/>
      <c r="B268" s="81"/>
      <c r="C268" s="79" t="str">
        <f t="shared" si="12"/>
        <v/>
      </c>
      <c r="D268" s="80"/>
      <c r="E268" s="81"/>
      <c r="F268" s="79" t="str">
        <f t="shared" si="13"/>
        <v/>
      </c>
      <c r="G268" s="80"/>
      <c r="H268" s="81"/>
      <c r="I268" s="79" t="str">
        <f t="shared" si="14"/>
        <v/>
      </c>
    </row>
    <row r="269" spans="1:9" s="79" customFormat="1" ht="16.5">
      <c r="A269" s="80"/>
      <c r="B269" s="81"/>
      <c r="C269" s="79" t="str">
        <f t="shared" si="12"/>
        <v/>
      </c>
      <c r="D269" s="80"/>
      <c r="E269" s="81"/>
      <c r="F269" s="79" t="str">
        <f t="shared" si="13"/>
        <v/>
      </c>
      <c r="G269" s="80"/>
      <c r="H269" s="81"/>
      <c r="I269" s="79" t="str">
        <f t="shared" si="14"/>
        <v/>
      </c>
    </row>
    <row r="270" spans="1:9" s="79" customFormat="1" ht="16.5">
      <c r="A270" s="80"/>
      <c r="B270" s="81"/>
      <c r="C270" s="79" t="str">
        <f t="shared" si="12"/>
        <v/>
      </c>
      <c r="D270" s="80"/>
      <c r="E270" s="81"/>
      <c r="F270" s="79" t="str">
        <f t="shared" si="13"/>
        <v/>
      </c>
      <c r="G270" s="80"/>
      <c r="H270" s="81"/>
      <c r="I270" s="79" t="str">
        <f t="shared" si="14"/>
        <v/>
      </c>
    </row>
    <row r="271" spans="1:9" s="79" customFormat="1" ht="16.5">
      <c r="A271" s="80"/>
      <c r="B271" s="81"/>
      <c r="C271" s="79" t="str">
        <f t="shared" si="12"/>
        <v/>
      </c>
      <c r="D271" s="80"/>
      <c r="E271" s="81"/>
      <c r="F271" s="79" t="str">
        <f t="shared" si="13"/>
        <v/>
      </c>
      <c r="G271" s="80"/>
      <c r="H271" s="81"/>
      <c r="I271" s="79" t="str">
        <f t="shared" si="14"/>
        <v/>
      </c>
    </row>
    <row r="272" spans="1:9" s="79" customFormat="1" ht="16.5">
      <c r="A272" s="80"/>
      <c r="B272" s="81"/>
      <c r="C272" s="79" t="str">
        <f t="shared" si="12"/>
        <v/>
      </c>
      <c r="D272" s="80"/>
      <c r="E272" s="81"/>
      <c r="F272" s="79" t="str">
        <f t="shared" si="13"/>
        <v/>
      </c>
      <c r="G272" s="80"/>
      <c r="H272" s="81"/>
      <c r="I272" s="79" t="str">
        <f t="shared" si="14"/>
        <v/>
      </c>
    </row>
    <row r="273" spans="1:9" s="79" customFormat="1" ht="16.5">
      <c r="A273" s="80"/>
      <c r="B273" s="81"/>
      <c r="C273" s="79" t="str">
        <f t="shared" si="12"/>
        <v/>
      </c>
      <c r="D273" s="80"/>
      <c r="E273" s="81"/>
      <c r="F273" s="79" t="str">
        <f t="shared" si="13"/>
        <v/>
      </c>
      <c r="G273" s="80"/>
      <c r="H273" s="81"/>
      <c r="I273" s="79" t="str">
        <f t="shared" si="14"/>
        <v/>
      </c>
    </row>
    <row r="274" spans="1:9" s="79" customFormat="1" ht="16.5">
      <c r="A274" s="80"/>
      <c r="B274" s="81"/>
      <c r="C274" s="79" t="str">
        <f t="shared" si="12"/>
        <v/>
      </c>
      <c r="D274" s="80"/>
      <c r="E274" s="81"/>
      <c r="F274" s="79" t="str">
        <f t="shared" si="13"/>
        <v/>
      </c>
      <c r="G274" s="80"/>
      <c r="H274" s="81"/>
      <c r="I274" s="79" t="str">
        <f t="shared" si="14"/>
        <v/>
      </c>
    </row>
    <row r="275" spans="1:9" s="79" customFormat="1" ht="16.5">
      <c r="A275" s="80"/>
      <c r="B275" s="81"/>
      <c r="C275" s="79" t="str">
        <f t="shared" si="12"/>
        <v/>
      </c>
      <c r="D275" s="80"/>
      <c r="E275" s="81"/>
      <c r="F275" s="79" t="str">
        <f t="shared" si="13"/>
        <v/>
      </c>
      <c r="G275" s="80"/>
      <c r="H275" s="81"/>
      <c r="I275" s="79" t="str">
        <f t="shared" si="14"/>
        <v/>
      </c>
    </row>
    <row r="276" spans="1:9" s="79" customFormat="1" ht="16.5">
      <c r="A276" s="80"/>
      <c r="B276" s="81"/>
      <c r="C276" s="79" t="str">
        <f t="shared" si="12"/>
        <v/>
      </c>
      <c r="D276" s="80"/>
      <c r="E276" s="81"/>
      <c r="F276" s="79" t="str">
        <f t="shared" si="13"/>
        <v/>
      </c>
      <c r="G276" s="80"/>
      <c r="H276" s="81"/>
      <c r="I276" s="79" t="str">
        <f t="shared" si="14"/>
        <v/>
      </c>
    </row>
    <row r="277" spans="1:9" s="79" customFormat="1" ht="16.5">
      <c r="A277" s="80"/>
      <c r="B277" s="81"/>
      <c r="C277" s="79" t="str">
        <f t="shared" si="12"/>
        <v/>
      </c>
      <c r="D277" s="80"/>
      <c r="E277" s="81"/>
      <c r="F277" s="79" t="str">
        <f t="shared" si="13"/>
        <v/>
      </c>
      <c r="G277" s="80"/>
      <c r="H277" s="81"/>
      <c r="I277" s="79" t="str">
        <f t="shared" si="14"/>
        <v/>
      </c>
    </row>
    <row r="278" spans="1:9" s="79" customFormat="1" ht="16.5">
      <c r="A278" s="80"/>
      <c r="B278" s="81"/>
      <c r="C278" s="79" t="str">
        <f t="shared" si="12"/>
        <v/>
      </c>
      <c r="D278" s="80"/>
      <c r="E278" s="81"/>
      <c r="F278" s="79" t="str">
        <f t="shared" si="13"/>
        <v/>
      </c>
      <c r="G278" s="80"/>
      <c r="H278" s="81"/>
      <c r="I278" s="79" t="str">
        <f t="shared" si="14"/>
        <v/>
      </c>
    </row>
    <row r="279" spans="1:9" s="79" customFormat="1" ht="16.5">
      <c r="A279" s="80"/>
      <c r="B279" s="81"/>
      <c r="C279" s="79" t="str">
        <f t="shared" si="12"/>
        <v/>
      </c>
      <c r="D279" s="80"/>
      <c r="E279" s="81"/>
      <c r="F279" s="79" t="str">
        <f t="shared" si="13"/>
        <v/>
      </c>
      <c r="G279" s="80"/>
      <c r="H279" s="81"/>
      <c r="I279" s="79" t="str">
        <f t="shared" si="14"/>
        <v/>
      </c>
    </row>
    <row r="280" spans="1:9" s="79" customFormat="1" ht="16.5">
      <c r="A280" s="80"/>
      <c r="B280" s="81"/>
      <c r="C280" s="79" t="str">
        <f t="shared" si="12"/>
        <v/>
      </c>
      <c r="D280" s="80"/>
      <c r="E280" s="81"/>
      <c r="F280" s="79" t="str">
        <f t="shared" si="13"/>
        <v/>
      </c>
      <c r="G280" s="80"/>
      <c r="H280" s="81"/>
      <c r="I280" s="79" t="str">
        <f t="shared" si="14"/>
        <v/>
      </c>
    </row>
    <row r="281" spans="1:9" s="79" customFormat="1" ht="16.5">
      <c r="A281" s="80"/>
      <c r="B281" s="81"/>
      <c r="C281" s="79" t="str">
        <f t="shared" si="12"/>
        <v/>
      </c>
      <c r="D281" s="80"/>
      <c r="E281" s="81"/>
      <c r="F281" s="79" t="str">
        <f t="shared" si="13"/>
        <v/>
      </c>
      <c r="G281" s="80"/>
      <c r="H281" s="81"/>
      <c r="I281" s="79" t="str">
        <f t="shared" si="14"/>
        <v/>
      </c>
    </row>
    <row r="282" spans="1:9" s="79" customFormat="1" ht="16.5">
      <c r="A282" s="80"/>
      <c r="B282" s="81"/>
      <c r="C282" s="79" t="str">
        <f t="shared" si="12"/>
        <v/>
      </c>
      <c r="D282" s="80"/>
      <c r="E282" s="81"/>
      <c r="F282" s="79" t="str">
        <f t="shared" si="13"/>
        <v/>
      </c>
      <c r="G282" s="80"/>
      <c r="H282" s="81"/>
      <c r="I282" s="79" t="str">
        <f t="shared" si="14"/>
        <v/>
      </c>
    </row>
    <row r="283" spans="1:9" s="79" customFormat="1" ht="16.5">
      <c r="A283" s="80"/>
      <c r="B283" s="81"/>
      <c r="C283" s="79" t="str">
        <f t="shared" si="12"/>
        <v/>
      </c>
      <c r="D283" s="80"/>
      <c r="E283" s="81"/>
      <c r="F283" s="79" t="str">
        <f t="shared" si="13"/>
        <v/>
      </c>
      <c r="G283" s="80"/>
      <c r="H283" s="81"/>
      <c r="I283" s="79" t="str">
        <f t="shared" si="14"/>
        <v/>
      </c>
    </row>
    <row r="284" spans="1:9" s="79" customFormat="1" ht="16.5">
      <c r="A284" s="80"/>
      <c r="B284" s="81"/>
      <c r="C284" s="79" t="str">
        <f t="shared" si="12"/>
        <v/>
      </c>
      <c r="D284" s="80"/>
      <c r="E284" s="81"/>
      <c r="F284" s="79" t="str">
        <f t="shared" si="13"/>
        <v/>
      </c>
      <c r="G284" s="80"/>
      <c r="H284" s="81"/>
      <c r="I284" s="79" t="str">
        <f t="shared" si="14"/>
        <v/>
      </c>
    </row>
    <row r="285" spans="1:9" s="79" customFormat="1" ht="16.5">
      <c r="A285" s="80"/>
      <c r="B285" s="81"/>
      <c r="C285" s="79" t="str">
        <f t="shared" si="12"/>
        <v/>
      </c>
      <c r="D285" s="80"/>
      <c r="E285" s="81"/>
      <c r="F285" s="79" t="str">
        <f t="shared" si="13"/>
        <v/>
      </c>
      <c r="G285" s="80"/>
      <c r="H285" s="81"/>
      <c r="I285" s="79" t="str">
        <f t="shared" si="14"/>
        <v/>
      </c>
    </row>
    <row r="286" spans="1:9" s="79" customFormat="1" ht="16.5">
      <c r="A286" s="80"/>
      <c r="B286" s="81"/>
      <c r="C286" s="79" t="str">
        <f t="shared" si="12"/>
        <v/>
      </c>
      <c r="D286" s="80"/>
      <c r="E286" s="81"/>
      <c r="F286" s="79" t="str">
        <f t="shared" si="13"/>
        <v/>
      </c>
      <c r="G286" s="80"/>
      <c r="H286" s="81"/>
      <c r="I286" s="79" t="str">
        <f t="shared" si="14"/>
        <v/>
      </c>
    </row>
    <row r="287" spans="1:9" s="79" customFormat="1" ht="16.5">
      <c r="A287" s="80"/>
      <c r="B287" s="81"/>
      <c r="C287" s="79" t="str">
        <f t="shared" si="12"/>
        <v/>
      </c>
      <c r="D287" s="80"/>
      <c r="E287" s="81"/>
      <c r="F287" s="79" t="str">
        <f t="shared" si="13"/>
        <v/>
      </c>
      <c r="G287" s="80"/>
      <c r="H287" s="81"/>
      <c r="I287" s="79" t="str">
        <f t="shared" si="14"/>
        <v/>
      </c>
    </row>
    <row r="288" spans="1:9" s="79" customFormat="1" ht="16.5">
      <c r="A288" s="80"/>
      <c r="B288" s="81"/>
      <c r="C288" s="79" t="str">
        <f t="shared" si="12"/>
        <v/>
      </c>
      <c r="D288" s="80"/>
      <c r="E288" s="81"/>
      <c r="F288" s="79" t="str">
        <f t="shared" si="13"/>
        <v/>
      </c>
      <c r="G288" s="80"/>
      <c r="H288" s="81"/>
      <c r="I288" s="79" t="str">
        <f t="shared" si="14"/>
        <v/>
      </c>
    </row>
    <row r="289" spans="1:9" s="79" customFormat="1" ht="16.5">
      <c r="A289" s="80"/>
      <c r="B289" s="81"/>
      <c r="C289" s="79" t="str">
        <f t="shared" si="12"/>
        <v/>
      </c>
      <c r="D289" s="80"/>
      <c r="E289" s="81"/>
      <c r="F289" s="79" t="str">
        <f t="shared" si="13"/>
        <v/>
      </c>
      <c r="G289" s="80"/>
      <c r="H289" s="81"/>
      <c r="I289" s="79" t="str">
        <f t="shared" si="14"/>
        <v/>
      </c>
    </row>
    <row r="290" spans="1:9" s="79" customFormat="1" ht="16.5">
      <c r="A290" s="80"/>
      <c r="B290" s="81"/>
      <c r="C290" s="79" t="str">
        <f t="shared" si="12"/>
        <v/>
      </c>
      <c r="D290" s="80"/>
      <c r="E290" s="81"/>
      <c r="F290" s="79" t="str">
        <f t="shared" si="13"/>
        <v/>
      </c>
      <c r="G290" s="80"/>
      <c r="H290" s="81"/>
      <c r="I290" s="79" t="str">
        <f t="shared" si="14"/>
        <v/>
      </c>
    </row>
    <row r="291" spans="1:9" s="79" customFormat="1" ht="16.5">
      <c r="A291" s="80"/>
      <c r="B291" s="81"/>
      <c r="C291" s="79" t="str">
        <f t="shared" si="12"/>
        <v/>
      </c>
      <c r="D291" s="80"/>
      <c r="E291" s="81"/>
      <c r="F291" s="79" t="str">
        <f t="shared" si="13"/>
        <v/>
      </c>
      <c r="G291" s="80"/>
      <c r="H291" s="81"/>
      <c r="I291" s="79" t="str">
        <f t="shared" si="14"/>
        <v/>
      </c>
    </row>
    <row r="292" spans="1:9" s="79" customFormat="1" ht="16.5">
      <c r="A292" s="80"/>
      <c r="B292" s="81"/>
      <c r="C292" s="79" t="str">
        <f t="shared" si="12"/>
        <v/>
      </c>
      <c r="D292" s="80"/>
      <c r="E292" s="81"/>
      <c r="F292" s="79" t="str">
        <f t="shared" si="13"/>
        <v/>
      </c>
      <c r="G292" s="80"/>
      <c r="H292" s="81"/>
      <c r="I292" s="79" t="str">
        <f t="shared" si="14"/>
        <v/>
      </c>
    </row>
    <row r="293" spans="1:9" s="79" customFormat="1" ht="16.5">
      <c r="A293" s="80"/>
      <c r="B293" s="81"/>
      <c r="C293" s="79" t="str">
        <f t="shared" si="12"/>
        <v/>
      </c>
      <c r="D293" s="80"/>
      <c r="E293" s="81"/>
      <c r="F293" s="79" t="str">
        <f t="shared" si="13"/>
        <v/>
      </c>
      <c r="G293" s="80"/>
      <c r="H293" s="81"/>
      <c r="I293" s="79" t="str">
        <f t="shared" si="14"/>
        <v/>
      </c>
    </row>
    <row r="294" spans="1:9" s="79" customFormat="1" ht="16.5">
      <c r="A294" s="80"/>
      <c r="B294" s="81"/>
      <c r="C294" s="79" t="str">
        <f t="shared" si="12"/>
        <v/>
      </c>
      <c r="D294" s="80"/>
      <c r="E294" s="81"/>
      <c r="F294" s="79" t="str">
        <f t="shared" si="13"/>
        <v/>
      </c>
      <c r="G294" s="80"/>
      <c r="H294" s="81"/>
      <c r="I294" s="79" t="str">
        <f t="shared" si="14"/>
        <v/>
      </c>
    </row>
    <row r="295" spans="1:9" s="79" customFormat="1" ht="16.5">
      <c r="A295" s="80"/>
      <c r="B295" s="81"/>
      <c r="C295" s="79" t="str">
        <f t="shared" si="12"/>
        <v/>
      </c>
      <c r="D295" s="80"/>
      <c r="E295" s="81"/>
      <c r="F295" s="79" t="str">
        <f t="shared" si="13"/>
        <v/>
      </c>
      <c r="G295" s="80"/>
      <c r="H295" s="81"/>
      <c r="I295" s="79" t="str">
        <f t="shared" si="14"/>
        <v/>
      </c>
    </row>
    <row r="296" spans="1:9" s="79" customFormat="1" ht="16.5">
      <c r="A296" s="80"/>
      <c r="B296" s="81"/>
      <c r="C296" s="79" t="str">
        <f t="shared" si="12"/>
        <v/>
      </c>
      <c r="D296" s="80"/>
      <c r="E296" s="81"/>
      <c r="F296" s="79" t="str">
        <f t="shared" si="13"/>
        <v/>
      </c>
      <c r="G296" s="80"/>
      <c r="H296" s="81"/>
      <c r="I296" s="79" t="str">
        <f t="shared" si="14"/>
        <v/>
      </c>
    </row>
    <row r="297" spans="1:9" s="79" customFormat="1" ht="16.5">
      <c r="A297" s="80"/>
      <c r="B297" s="81"/>
      <c r="C297" s="79" t="str">
        <f t="shared" si="12"/>
        <v/>
      </c>
      <c r="D297" s="80"/>
      <c r="E297" s="81"/>
      <c r="F297" s="79" t="str">
        <f t="shared" si="13"/>
        <v/>
      </c>
      <c r="G297" s="80"/>
      <c r="H297" s="81"/>
      <c r="I297" s="79" t="str">
        <f t="shared" si="14"/>
        <v/>
      </c>
    </row>
    <row r="298" spans="1:9" s="79" customFormat="1" ht="16.5">
      <c r="A298" s="80"/>
      <c r="B298" s="81"/>
      <c r="C298" s="79" t="str">
        <f t="shared" si="12"/>
        <v/>
      </c>
      <c r="D298" s="80"/>
      <c r="E298" s="81"/>
      <c r="F298" s="79" t="str">
        <f t="shared" si="13"/>
        <v/>
      </c>
      <c r="G298" s="80"/>
      <c r="H298" s="81"/>
      <c r="I298" s="79" t="str">
        <f t="shared" si="14"/>
        <v/>
      </c>
    </row>
    <row r="299" spans="1:9" s="79" customFormat="1" ht="16.5">
      <c r="A299" s="80"/>
      <c r="B299" s="81"/>
      <c r="C299" s="79" t="str">
        <f t="shared" si="12"/>
        <v/>
      </c>
      <c r="D299" s="80"/>
      <c r="E299" s="81"/>
      <c r="F299" s="79" t="str">
        <f t="shared" si="13"/>
        <v/>
      </c>
      <c r="G299" s="80"/>
      <c r="H299" s="81"/>
      <c r="I299" s="79" t="str">
        <f t="shared" si="14"/>
        <v/>
      </c>
    </row>
    <row r="300" spans="1:9" s="79" customFormat="1" ht="16.5">
      <c r="A300" s="80"/>
      <c r="B300" s="81"/>
      <c r="C300" s="79" t="str">
        <f t="shared" si="12"/>
        <v/>
      </c>
      <c r="D300" s="80"/>
      <c r="E300" s="81"/>
      <c r="F300" s="79" t="str">
        <f t="shared" si="13"/>
        <v/>
      </c>
      <c r="G300" s="80"/>
      <c r="H300" s="81"/>
      <c r="I300" s="79" t="str">
        <f t="shared" si="14"/>
        <v/>
      </c>
    </row>
    <row r="301" spans="1:9" s="79" customFormat="1" ht="16.5">
      <c r="A301" s="80"/>
      <c r="B301" s="81"/>
      <c r="C301" s="79" t="str">
        <f t="shared" si="12"/>
        <v/>
      </c>
      <c r="D301" s="80"/>
      <c r="E301" s="81"/>
      <c r="F301" s="79" t="str">
        <f t="shared" si="13"/>
        <v/>
      </c>
      <c r="G301" s="80"/>
      <c r="H301" s="81"/>
      <c r="I301" s="79" t="str">
        <f t="shared" si="14"/>
        <v/>
      </c>
    </row>
    <row r="302" spans="1:9" s="79" customFormat="1" ht="16.5">
      <c r="A302" s="80"/>
      <c r="B302" s="84"/>
      <c r="C302" s="79" t="str">
        <f t="shared" si="12"/>
        <v/>
      </c>
      <c r="D302" s="80"/>
      <c r="E302" s="84"/>
      <c r="F302" s="79" t="str">
        <f t="shared" si="13"/>
        <v/>
      </c>
      <c r="G302" s="80"/>
      <c r="H302" s="84"/>
      <c r="I302" s="79" t="str">
        <f t="shared" si="14"/>
        <v/>
      </c>
    </row>
    <row r="303" spans="1:9" s="79" customFormat="1" ht="16.5">
      <c r="A303" s="80"/>
      <c r="B303" s="84"/>
      <c r="C303" s="79" t="str">
        <f t="shared" si="12"/>
        <v/>
      </c>
      <c r="D303" s="80"/>
      <c r="E303" s="84"/>
      <c r="F303" s="79" t="str">
        <f t="shared" si="13"/>
        <v/>
      </c>
      <c r="G303" s="80"/>
      <c r="H303" s="84"/>
      <c r="I303" s="79" t="str">
        <f t="shared" si="14"/>
        <v/>
      </c>
    </row>
    <row r="304" spans="1:9" s="79" customFormat="1" ht="16.5">
      <c r="A304" s="80"/>
      <c r="B304" s="84"/>
      <c r="C304" s="79" t="str">
        <f t="shared" si="12"/>
        <v/>
      </c>
      <c r="D304" s="80"/>
      <c r="E304" s="84"/>
      <c r="F304" s="79" t="str">
        <f t="shared" si="13"/>
        <v/>
      </c>
      <c r="G304" s="80"/>
      <c r="H304" s="84"/>
      <c r="I304" s="79" t="str">
        <f t="shared" si="14"/>
        <v/>
      </c>
    </row>
    <row r="305" spans="1:7" s="79" customFormat="1" ht="16.5">
      <c r="A305" s="79" t="s">
        <v>1438</v>
      </c>
      <c r="D305" s="79" t="s">
        <v>1438</v>
      </c>
      <c r="G305" s="79" t="s">
        <v>1438</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82" bestFit="1" customWidth="1"/>
    <col min="2" max="2" width="8.375" style="183" bestFit="1" customWidth="1"/>
    <col min="3" max="3" width="15.75" style="184" customWidth="1"/>
    <col min="4" max="4" width="47.125" style="185" customWidth="1"/>
    <col min="5" max="5" width="56.125" style="185" customWidth="1"/>
    <col min="6" max="6" width="57.375" style="182" customWidth="1"/>
    <col min="7" max="26" width="73.375" style="182"/>
    <col min="27" max="27" width="73.375" style="182" hidden="1" customWidth="1"/>
    <col min="28" max="29" width="73.375" style="182"/>
    <col min="30" max="30" width="0" style="182" hidden="1" customWidth="1"/>
    <col min="31" max="16384" width="73.375" style="182"/>
  </cols>
  <sheetData>
    <row r="1" spans="1:6" s="180" customFormat="1">
      <c r="A1" s="180" t="s">
        <v>423</v>
      </c>
      <c r="B1" s="180" t="s">
        <v>424</v>
      </c>
      <c r="C1" s="181" t="s">
        <v>425</v>
      </c>
      <c r="D1" s="181" t="s">
        <v>18</v>
      </c>
      <c r="E1" s="181" t="s">
        <v>19</v>
      </c>
      <c r="F1" s="180" t="s">
        <v>620</v>
      </c>
    </row>
    <row r="2" spans="1:6" ht="84">
      <c r="A2" s="182" t="s">
        <v>1582</v>
      </c>
      <c r="B2" s="183">
        <v>1</v>
      </c>
      <c r="C2" s="184" t="s">
        <v>494</v>
      </c>
      <c r="D2" s="185" t="s">
        <v>426</v>
      </c>
      <c r="E2" s="185" t="s">
        <v>798</v>
      </c>
      <c r="F2" s="185" t="s">
        <v>798</v>
      </c>
    </row>
    <row r="3" spans="1:6" ht="96">
      <c r="A3" s="186">
        <v>650</v>
      </c>
      <c r="B3" s="183">
        <v>2</v>
      </c>
      <c r="C3" s="184" t="s">
        <v>494</v>
      </c>
      <c r="D3" s="185" t="s">
        <v>419</v>
      </c>
      <c r="E3" s="185" t="s">
        <v>799</v>
      </c>
      <c r="F3" s="185" t="s">
        <v>799</v>
      </c>
    </row>
    <row r="4" spans="1:6" ht="60">
      <c r="B4" s="183">
        <v>3</v>
      </c>
      <c r="C4" s="184" t="s">
        <v>494</v>
      </c>
      <c r="D4" s="185" t="s">
        <v>427</v>
      </c>
      <c r="E4" s="185" t="s">
        <v>800</v>
      </c>
      <c r="F4" s="185" t="s">
        <v>800</v>
      </c>
    </row>
    <row r="5" spans="1:6" ht="60">
      <c r="B5" s="183">
        <v>4</v>
      </c>
      <c r="C5" s="184" t="s">
        <v>494</v>
      </c>
      <c r="D5" s="185" t="s">
        <v>428</v>
      </c>
      <c r="E5" s="185" t="s">
        <v>801</v>
      </c>
      <c r="F5" s="185" t="s">
        <v>801</v>
      </c>
    </row>
    <row r="6" spans="1:6" ht="60">
      <c r="B6" s="183">
        <v>5</v>
      </c>
      <c r="C6" s="184" t="s">
        <v>494</v>
      </c>
      <c r="D6" s="185" t="s">
        <v>429</v>
      </c>
      <c r="E6" s="185" t="s">
        <v>802</v>
      </c>
      <c r="F6" s="185" t="s">
        <v>802</v>
      </c>
    </row>
    <row r="7" spans="1:6" ht="48">
      <c r="B7" s="183">
        <v>6</v>
      </c>
      <c r="C7" s="184" t="s">
        <v>494</v>
      </c>
      <c r="D7" s="185" t="s">
        <v>430</v>
      </c>
      <c r="E7" s="185" t="s">
        <v>803</v>
      </c>
      <c r="F7" s="185" t="s">
        <v>803</v>
      </c>
    </row>
    <row r="8" spans="1:6">
      <c r="B8" s="183">
        <v>7</v>
      </c>
      <c r="C8" s="184" t="s">
        <v>494</v>
      </c>
      <c r="D8" s="185" t="s">
        <v>421</v>
      </c>
      <c r="E8" s="185" t="s">
        <v>804</v>
      </c>
      <c r="F8" s="185" t="s">
        <v>804</v>
      </c>
    </row>
    <row r="9" spans="1:6" ht="48">
      <c r="B9" s="183">
        <v>8</v>
      </c>
      <c r="C9" s="184" t="s">
        <v>585</v>
      </c>
      <c r="D9" s="185" t="s">
        <v>582</v>
      </c>
      <c r="E9" s="203" t="s">
        <v>1348</v>
      </c>
      <c r="F9" s="203" t="s">
        <v>1348</v>
      </c>
    </row>
    <row r="10" spans="1:6" ht="48">
      <c r="B10" s="183">
        <v>9</v>
      </c>
      <c r="C10" s="184" t="s">
        <v>585</v>
      </c>
      <c r="D10" s="185" t="s">
        <v>574</v>
      </c>
      <c r="E10" s="185" t="s">
        <v>805</v>
      </c>
      <c r="F10" s="185" t="s">
        <v>805</v>
      </c>
    </row>
    <row r="11" spans="1:6" ht="60">
      <c r="B11" s="183">
        <v>10</v>
      </c>
      <c r="C11" s="184" t="s">
        <v>585</v>
      </c>
      <c r="D11" s="185" t="s">
        <v>583</v>
      </c>
      <c r="E11" s="185" t="s">
        <v>806</v>
      </c>
      <c r="F11" s="185" t="s">
        <v>806</v>
      </c>
    </row>
    <row r="12" spans="1:6" ht="48">
      <c r="B12" s="183">
        <v>11</v>
      </c>
      <c r="C12" s="184" t="s">
        <v>585</v>
      </c>
      <c r="D12" s="185" t="s">
        <v>577</v>
      </c>
      <c r="E12" s="185" t="s">
        <v>807</v>
      </c>
      <c r="F12" s="185" t="s">
        <v>807</v>
      </c>
    </row>
    <row r="13" spans="1:6" ht="84">
      <c r="B13" s="183">
        <v>12</v>
      </c>
      <c r="C13" s="184" t="s">
        <v>585</v>
      </c>
      <c r="D13" s="185" t="s">
        <v>578</v>
      </c>
      <c r="E13" s="185" t="s">
        <v>808</v>
      </c>
      <c r="F13" s="185" t="s">
        <v>808</v>
      </c>
    </row>
    <row r="14" spans="1:6" ht="48">
      <c r="B14" s="183">
        <v>13</v>
      </c>
      <c r="C14" s="184" t="s">
        <v>494</v>
      </c>
      <c r="D14" s="185" t="s">
        <v>733</v>
      </c>
      <c r="E14" s="185" t="s">
        <v>809</v>
      </c>
      <c r="F14" s="185" t="s">
        <v>809</v>
      </c>
    </row>
    <row r="15" spans="1:6" ht="36">
      <c r="B15" s="183">
        <v>14</v>
      </c>
      <c r="C15" s="184" t="s">
        <v>494</v>
      </c>
      <c r="D15" s="185" t="s">
        <v>734</v>
      </c>
      <c r="E15" s="185" t="s">
        <v>810</v>
      </c>
      <c r="F15" s="185" t="s">
        <v>810</v>
      </c>
    </row>
    <row r="16" spans="1:6">
      <c r="B16" s="183">
        <v>15</v>
      </c>
      <c r="C16" s="184" t="s">
        <v>494</v>
      </c>
      <c r="D16" s="185" t="s">
        <v>735</v>
      </c>
      <c r="E16" s="185" t="s">
        <v>811</v>
      </c>
      <c r="F16" s="185" t="s">
        <v>811</v>
      </c>
    </row>
    <row r="17" spans="1:6">
      <c r="B17" s="183">
        <v>101</v>
      </c>
      <c r="D17" s="185" t="s">
        <v>20</v>
      </c>
      <c r="E17" s="185" t="s">
        <v>812</v>
      </c>
      <c r="F17" s="185" t="s">
        <v>812</v>
      </c>
    </row>
    <row r="18" spans="1:6">
      <c r="B18" s="183">
        <v>102</v>
      </c>
      <c r="D18" s="185" t="s">
        <v>21</v>
      </c>
      <c r="E18" s="185" t="s">
        <v>813</v>
      </c>
      <c r="F18" s="185" t="s">
        <v>813</v>
      </c>
    </row>
    <row r="19" spans="1:6">
      <c r="B19" s="183">
        <v>103</v>
      </c>
      <c r="D19" s="185" t="s">
        <v>22</v>
      </c>
      <c r="E19" s="185" t="s">
        <v>814</v>
      </c>
      <c r="F19" s="185" t="s">
        <v>814</v>
      </c>
    </row>
    <row r="20" spans="1:6">
      <c r="B20" s="183">
        <v>104</v>
      </c>
      <c r="D20" s="185" t="s">
        <v>23</v>
      </c>
      <c r="E20" s="185" t="s">
        <v>815</v>
      </c>
      <c r="F20" s="185" t="s">
        <v>815</v>
      </c>
    </row>
    <row r="21" spans="1:6">
      <c r="B21" s="183">
        <v>105</v>
      </c>
      <c r="D21" s="185" t="s">
        <v>24</v>
      </c>
      <c r="E21" s="185" t="s">
        <v>816</v>
      </c>
      <c r="F21" s="185" t="s">
        <v>816</v>
      </c>
    </row>
    <row r="22" spans="1:6">
      <c r="B22" s="183">
        <v>106</v>
      </c>
      <c r="D22" s="185" t="s">
        <v>343</v>
      </c>
      <c r="E22" s="185" t="s">
        <v>817</v>
      </c>
      <c r="F22" s="185" t="s">
        <v>817</v>
      </c>
    </row>
    <row r="23" spans="1:6" ht="36">
      <c r="B23" s="183">
        <v>107</v>
      </c>
      <c r="D23" s="185" t="s">
        <v>344</v>
      </c>
      <c r="E23" s="185" t="s">
        <v>818</v>
      </c>
      <c r="F23" s="185" t="s">
        <v>818</v>
      </c>
    </row>
    <row r="24" spans="1:6" ht="36">
      <c r="B24" s="183">
        <v>108</v>
      </c>
      <c r="D24" s="185" t="s">
        <v>345</v>
      </c>
      <c r="E24" s="185" t="s">
        <v>819</v>
      </c>
      <c r="F24" s="185" t="s">
        <v>819</v>
      </c>
    </row>
    <row r="25" spans="1:6">
      <c r="B25" s="183">
        <v>109</v>
      </c>
      <c r="D25" s="185" t="s">
        <v>25</v>
      </c>
      <c r="E25" s="185" t="s">
        <v>820</v>
      </c>
      <c r="F25" s="185" t="s">
        <v>820</v>
      </c>
    </row>
    <row r="26" spans="1:6">
      <c r="B26" s="183">
        <v>110</v>
      </c>
      <c r="D26" s="185" t="s">
        <v>26</v>
      </c>
      <c r="E26" s="185" t="s">
        <v>821</v>
      </c>
      <c r="F26" s="185" t="s">
        <v>821</v>
      </c>
    </row>
    <row r="27" spans="1:6">
      <c r="B27" s="183">
        <v>111</v>
      </c>
      <c r="D27" s="185" t="s">
        <v>27</v>
      </c>
      <c r="E27" s="185" t="s">
        <v>822</v>
      </c>
      <c r="F27" s="185" t="s">
        <v>822</v>
      </c>
    </row>
    <row r="28" spans="1:6">
      <c r="A28" s="187"/>
      <c r="B28" s="183">
        <v>112</v>
      </c>
      <c r="C28" s="188" t="s">
        <v>414</v>
      </c>
      <c r="D28" s="186" t="s">
        <v>431</v>
      </c>
      <c r="E28" s="186" t="s">
        <v>823</v>
      </c>
      <c r="F28" s="186" t="s">
        <v>823</v>
      </c>
    </row>
    <row r="29" spans="1:6">
      <c r="B29" s="183">
        <v>113</v>
      </c>
      <c r="D29" s="185" t="s">
        <v>28</v>
      </c>
      <c r="E29" s="185" t="s">
        <v>823</v>
      </c>
      <c r="F29" s="185" t="s">
        <v>823</v>
      </c>
    </row>
    <row r="30" spans="1:6">
      <c r="B30" s="183">
        <v>114</v>
      </c>
      <c r="C30" s="184" t="s">
        <v>543</v>
      </c>
      <c r="D30" s="185" t="s">
        <v>548</v>
      </c>
      <c r="E30" s="185" t="s">
        <v>824</v>
      </c>
      <c r="F30" s="185" t="s">
        <v>824</v>
      </c>
    </row>
    <row r="31" spans="1:6">
      <c r="B31" s="183">
        <v>115</v>
      </c>
      <c r="D31" s="185" t="s">
        <v>603</v>
      </c>
      <c r="E31" s="185" t="s">
        <v>825</v>
      </c>
      <c r="F31" s="185" t="s">
        <v>825</v>
      </c>
    </row>
    <row r="32" spans="1:6">
      <c r="B32" s="183">
        <v>116</v>
      </c>
      <c r="D32" s="185" t="s">
        <v>29</v>
      </c>
      <c r="E32" s="185" t="s">
        <v>826</v>
      </c>
      <c r="F32" s="185" t="s">
        <v>826</v>
      </c>
    </row>
    <row r="33" spans="2:6">
      <c r="B33" s="183">
        <v>117</v>
      </c>
      <c r="D33" s="185" t="s">
        <v>30</v>
      </c>
      <c r="E33" s="185" t="s">
        <v>827</v>
      </c>
      <c r="F33" s="185" t="s">
        <v>827</v>
      </c>
    </row>
    <row r="34" spans="2:6" ht="24">
      <c r="B34" s="183">
        <v>118</v>
      </c>
      <c r="D34" s="185" t="s">
        <v>346</v>
      </c>
      <c r="E34" s="185" t="s">
        <v>828</v>
      </c>
      <c r="F34" s="185" t="s">
        <v>828</v>
      </c>
    </row>
    <row r="35" spans="2:6">
      <c r="B35" s="183">
        <v>119</v>
      </c>
      <c r="D35" s="185" t="s">
        <v>514</v>
      </c>
      <c r="E35" s="185" t="s">
        <v>829</v>
      </c>
      <c r="F35" s="185" t="s">
        <v>829</v>
      </c>
    </row>
    <row r="36" spans="2:6">
      <c r="B36" s="183">
        <v>120</v>
      </c>
      <c r="D36" s="185" t="s">
        <v>500</v>
      </c>
      <c r="E36" s="185" t="s">
        <v>830</v>
      </c>
      <c r="F36" s="185" t="s">
        <v>830</v>
      </c>
    </row>
    <row r="37" spans="2:6" ht="24">
      <c r="B37" s="183">
        <v>121</v>
      </c>
      <c r="D37" s="185" t="s">
        <v>31</v>
      </c>
      <c r="E37" s="185" t="s">
        <v>831</v>
      </c>
      <c r="F37" s="185" t="s">
        <v>831</v>
      </c>
    </row>
    <row r="38" spans="2:6">
      <c r="B38" s="183">
        <v>122</v>
      </c>
      <c r="D38" s="185" t="s">
        <v>32</v>
      </c>
      <c r="E38" s="185" t="s">
        <v>832</v>
      </c>
      <c r="F38" s="185" t="s">
        <v>832</v>
      </c>
    </row>
    <row r="39" spans="2:6">
      <c r="B39" s="183">
        <v>123</v>
      </c>
      <c r="D39" s="185" t="s">
        <v>341</v>
      </c>
      <c r="E39" s="185" t="s">
        <v>833</v>
      </c>
      <c r="F39" s="185" t="s">
        <v>833</v>
      </c>
    </row>
    <row r="40" spans="2:6">
      <c r="B40" s="183">
        <v>124</v>
      </c>
      <c r="D40" s="185" t="s">
        <v>33</v>
      </c>
      <c r="E40" s="185" t="s">
        <v>834</v>
      </c>
      <c r="F40" s="185" t="s">
        <v>834</v>
      </c>
    </row>
    <row r="41" spans="2:6" ht="24">
      <c r="B41" s="183">
        <v>125</v>
      </c>
      <c r="D41" s="185" t="s">
        <v>516</v>
      </c>
      <c r="E41" s="185" t="s">
        <v>835</v>
      </c>
      <c r="F41" s="185" t="s">
        <v>835</v>
      </c>
    </row>
    <row r="42" spans="2:6" ht="24">
      <c r="B42" s="183">
        <v>126</v>
      </c>
      <c r="D42" s="185" t="s">
        <v>515</v>
      </c>
      <c r="E42" s="185" t="s">
        <v>836</v>
      </c>
      <c r="F42" s="185" t="s">
        <v>836</v>
      </c>
    </row>
    <row r="43" spans="2:6" ht="24">
      <c r="B43" s="183">
        <v>127</v>
      </c>
      <c r="D43" s="185" t="s">
        <v>34</v>
      </c>
      <c r="E43" s="185" t="s">
        <v>837</v>
      </c>
      <c r="F43" s="185" t="s">
        <v>837</v>
      </c>
    </row>
    <row r="44" spans="2:6" ht="24">
      <c r="B44" s="183">
        <v>128</v>
      </c>
      <c r="D44" s="185" t="s">
        <v>35</v>
      </c>
      <c r="E44" s="185" t="s">
        <v>838</v>
      </c>
      <c r="F44" s="185" t="s">
        <v>838</v>
      </c>
    </row>
    <row r="45" spans="2:6" ht="24">
      <c r="B45" s="183">
        <v>129</v>
      </c>
      <c r="D45" s="185" t="s">
        <v>342</v>
      </c>
      <c r="E45" s="185" t="s">
        <v>839</v>
      </c>
      <c r="F45" s="185" t="s">
        <v>839</v>
      </c>
    </row>
    <row r="46" spans="2:6">
      <c r="B46" s="183">
        <v>130</v>
      </c>
      <c r="D46" s="185" t="s">
        <v>36</v>
      </c>
      <c r="E46" s="185" t="s">
        <v>840</v>
      </c>
      <c r="F46" s="185" t="s">
        <v>840</v>
      </c>
    </row>
    <row r="47" spans="2:6">
      <c r="B47" s="183">
        <v>131</v>
      </c>
      <c r="D47" s="185" t="s">
        <v>347</v>
      </c>
      <c r="E47" s="185" t="s">
        <v>841</v>
      </c>
      <c r="F47" s="185" t="s">
        <v>841</v>
      </c>
    </row>
    <row r="48" spans="2:6">
      <c r="B48" s="183">
        <v>132</v>
      </c>
      <c r="D48" s="185" t="s">
        <v>37</v>
      </c>
      <c r="E48" s="185" t="s">
        <v>842</v>
      </c>
      <c r="F48" s="185" t="s">
        <v>842</v>
      </c>
    </row>
    <row r="49" spans="2:6">
      <c r="B49" s="183">
        <v>133</v>
      </c>
      <c r="D49" s="185" t="s">
        <v>629</v>
      </c>
      <c r="E49" s="185" t="s">
        <v>843</v>
      </c>
      <c r="F49" s="185" t="s">
        <v>843</v>
      </c>
    </row>
    <row r="50" spans="2:6">
      <c r="B50" s="183">
        <v>134</v>
      </c>
      <c r="D50" s="185" t="s">
        <v>628</v>
      </c>
      <c r="E50" s="185" t="s">
        <v>844</v>
      </c>
      <c r="F50" s="185" t="s">
        <v>844</v>
      </c>
    </row>
    <row r="51" spans="2:6">
      <c r="B51" s="183">
        <v>135</v>
      </c>
      <c r="D51" s="186" t="s">
        <v>627</v>
      </c>
      <c r="E51" s="189">
        <v>43435</v>
      </c>
      <c r="F51" s="189">
        <v>43435</v>
      </c>
    </row>
    <row r="52" spans="2:6">
      <c r="B52" s="183">
        <v>136</v>
      </c>
      <c r="D52" s="186" t="s">
        <v>348</v>
      </c>
      <c r="E52" s="189">
        <v>43465</v>
      </c>
      <c r="F52" s="189">
        <v>43465</v>
      </c>
    </row>
    <row r="53" spans="2:6">
      <c r="B53" s="183">
        <v>137</v>
      </c>
      <c r="D53" s="185" t="s">
        <v>38</v>
      </c>
      <c r="E53" s="185" t="s">
        <v>38</v>
      </c>
      <c r="F53" s="185" t="s">
        <v>38</v>
      </c>
    </row>
    <row r="54" spans="2:6">
      <c r="B54" s="183">
        <v>138</v>
      </c>
      <c r="D54" s="185" t="s">
        <v>39</v>
      </c>
      <c r="E54" s="185" t="s">
        <v>845</v>
      </c>
      <c r="F54" s="185" t="s">
        <v>845</v>
      </c>
    </row>
    <row r="55" spans="2:6">
      <c r="B55" s="183">
        <v>139</v>
      </c>
      <c r="C55" s="184" t="s">
        <v>432</v>
      </c>
      <c r="D55" s="185" t="s">
        <v>433</v>
      </c>
      <c r="E55" s="185" t="s">
        <v>846</v>
      </c>
      <c r="F55" s="185" t="s">
        <v>846</v>
      </c>
    </row>
    <row r="56" spans="2:6" ht="24">
      <c r="B56" s="183">
        <v>140</v>
      </c>
      <c r="D56" s="185" t="s">
        <v>40</v>
      </c>
      <c r="E56" s="185" t="s">
        <v>847</v>
      </c>
      <c r="F56" s="185" t="s">
        <v>847</v>
      </c>
    </row>
    <row r="57" spans="2:6" ht="24">
      <c r="B57" s="183">
        <v>141</v>
      </c>
      <c r="D57" s="185" t="s">
        <v>41</v>
      </c>
      <c r="E57" s="185" t="s">
        <v>848</v>
      </c>
      <c r="F57" s="185" t="s">
        <v>848</v>
      </c>
    </row>
    <row r="58" spans="2:6">
      <c r="B58" s="183">
        <v>142</v>
      </c>
      <c r="D58" s="185" t="s">
        <v>496</v>
      </c>
      <c r="E58" s="185" t="s">
        <v>849</v>
      </c>
      <c r="F58" s="185" t="s">
        <v>849</v>
      </c>
    </row>
    <row r="59" spans="2:6">
      <c r="B59" s="183">
        <v>143</v>
      </c>
      <c r="C59" s="184" t="s">
        <v>466</v>
      </c>
      <c r="D59" s="182" t="s">
        <v>349</v>
      </c>
      <c r="E59" s="190" t="s">
        <v>850</v>
      </c>
      <c r="F59" s="190" t="s">
        <v>850</v>
      </c>
    </row>
    <row r="60" spans="2:6">
      <c r="B60" s="183">
        <v>144</v>
      </c>
      <c r="D60" s="185" t="s">
        <v>42</v>
      </c>
      <c r="E60" s="185" t="s">
        <v>851</v>
      </c>
      <c r="F60" s="185" t="s">
        <v>851</v>
      </c>
    </row>
    <row r="61" spans="2:6" ht="24">
      <c r="B61" s="183">
        <v>145</v>
      </c>
      <c r="D61" s="185" t="s">
        <v>43</v>
      </c>
      <c r="E61" s="185" t="s">
        <v>852</v>
      </c>
      <c r="F61" s="185" t="s">
        <v>852</v>
      </c>
    </row>
    <row r="62" spans="2:6">
      <c r="B62" s="183">
        <v>146</v>
      </c>
      <c r="D62" s="185" t="s">
        <v>44</v>
      </c>
      <c r="E62" s="185" t="s">
        <v>853</v>
      </c>
      <c r="F62" s="185" t="s">
        <v>853</v>
      </c>
    </row>
    <row r="63" spans="2:6" ht="24">
      <c r="B63" s="183">
        <v>147</v>
      </c>
      <c r="D63" s="185" t="s">
        <v>45</v>
      </c>
      <c r="E63" s="185" t="s">
        <v>854</v>
      </c>
      <c r="F63" s="185" t="s">
        <v>854</v>
      </c>
    </row>
    <row r="64" spans="2:6">
      <c r="B64" s="183">
        <v>148</v>
      </c>
      <c r="D64" s="185" t="s">
        <v>497</v>
      </c>
      <c r="E64" s="185" t="s">
        <v>855</v>
      </c>
      <c r="F64" s="185" t="s">
        <v>855</v>
      </c>
    </row>
    <row r="65" spans="1:6">
      <c r="B65" s="183">
        <v>149</v>
      </c>
      <c r="D65" s="185" t="s">
        <v>498</v>
      </c>
      <c r="E65" s="185" t="s">
        <v>856</v>
      </c>
      <c r="F65" s="185" t="s">
        <v>856</v>
      </c>
    </row>
    <row r="66" spans="1:6">
      <c r="B66" s="183">
        <v>150</v>
      </c>
      <c r="D66" s="185" t="s">
        <v>46</v>
      </c>
      <c r="E66" s="185" t="s">
        <v>857</v>
      </c>
      <c r="F66" s="185" t="s">
        <v>857</v>
      </c>
    </row>
    <row r="67" spans="1:6">
      <c r="B67" s="183">
        <v>151</v>
      </c>
      <c r="C67" s="184" t="s">
        <v>466</v>
      </c>
      <c r="D67" s="182" t="s">
        <v>350</v>
      </c>
      <c r="E67" s="190" t="s">
        <v>858</v>
      </c>
      <c r="F67" s="190" t="s">
        <v>858</v>
      </c>
    </row>
    <row r="68" spans="1:6">
      <c r="B68" s="183">
        <v>152</v>
      </c>
      <c r="D68" s="185" t="s">
        <v>47</v>
      </c>
      <c r="E68" s="185" t="s">
        <v>859</v>
      </c>
      <c r="F68" s="185" t="s">
        <v>859</v>
      </c>
    </row>
    <row r="69" spans="1:6">
      <c r="B69" s="183">
        <v>153</v>
      </c>
      <c r="D69" s="185" t="s">
        <v>48</v>
      </c>
      <c r="E69" s="185" t="s">
        <v>860</v>
      </c>
      <c r="F69" s="185" t="s">
        <v>860</v>
      </c>
    </row>
    <row r="70" spans="1:6">
      <c r="B70" s="183">
        <v>154</v>
      </c>
      <c r="D70" s="185" t="s">
        <v>49</v>
      </c>
      <c r="E70" s="185" t="s">
        <v>861</v>
      </c>
      <c r="F70" s="185" t="s">
        <v>861</v>
      </c>
    </row>
    <row r="71" spans="1:6" ht="24">
      <c r="B71" s="183">
        <v>155</v>
      </c>
      <c r="D71" s="185" t="s">
        <v>50</v>
      </c>
      <c r="E71" s="185" t="s">
        <v>862</v>
      </c>
      <c r="F71" s="185" t="s">
        <v>862</v>
      </c>
    </row>
    <row r="72" spans="1:6">
      <c r="B72" s="183">
        <v>156</v>
      </c>
      <c r="C72" s="184" t="s">
        <v>466</v>
      </c>
      <c r="D72" s="182" t="s">
        <v>464</v>
      </c>
      <c r="E72" s="190" t="s">
        <v>863</v>
      </c>
      <c r="F72" s="190" t="s">
        <v>863</v>
      </c>
    </row>
    <row r="73" spans="1:6">
      <c r="B73" s="183">
        <v>157</v>
      </c>
      <c r="C73" s="184" t="s">
        <v>466</v>
      </c>
      <c r="D73" s="182" t="s">
        <v>463</v>
      </c>
      <c r="E73" s="190" t="s">
        <v>864</v>
      </c>
      <c r="F73" s="190" t="s">
        <v>864</v>
      </c>
    </row>
    <row r="74" spans="1:6">
      <c r="B74" s="183">
        <v>158</v>
      </c>
      <c r="D74" s="185" t="s">
        <v>351</v>
      </c>
      <c r="E74" s="185" t="s">
        <v>865</v>
      </c>
      <c r="F74" s="185" t="s">
        <v>865</v>
      </c>
    </row>
    <row r="75" spans="1:6">
      <c r="A75" s="191"/>
      <c r="B75" s="183">
        <v>159</v>
      </c>
      <c r="C75" s="188" t="s">
        <v>414</v>
      </c>
      <c r="D75" s="186" t="s">
        <v>434</v>
      </c>
      <c r="E75" s="186" t="s">
        <v>866</v>
      </c>
      <c r="F75" s="186" t="s">
        <v>866</v>
      </c>
    </row>
    <row r="76" spans="1:6">
      <c r="B76" s="183">
        <v>160</v>
      </c>
      <c r="D76" s="185" t="s">
        <v>51</v>
      </c>
      <c r="E76" s="186" t="s">
        <v>867</v>
      </c>
      <c r="F76" s="186" t="s">
        <v>867</v>
      </c>
    </row>
    <row r="77" spans="1:6">
      <c r="B77" s="183">
        <v>161</v>
      </c>
      <c r="D77" s="185" t="s">
        <v>52</v>
      </c>
      <c r="E77" s="186" t="s">
        <v>868</v>
      </c>
      <c r="F77" s="186" t="s">
        <v>868</v>
      </c>
    </row>
    <row r="78" spans="1:6">
      <c r="B78" s="183">
        <v>162</v>
      </c>
      <c r="D78" s="185" t="s">
        <v>510</v>
      </c>
      <c r="E78" s="185" t="s">
        <v>869</v>
      </c>
      <c r="F78" s="185" t="s">
        <v>869</v>
      </c>
    </row>
    <row r="79" spans="1:6">
      <c r="B79" s="183">
        <v>163</v>
      </c>
      <c r="D79" s="185" t="s">
        <v>508</v>
      </c>
      <c r="E79" s="185" t="s">
        <v>870</v>
      </c>
      <c r="F79" s="185" t="s">
        <v>870</v>
      </c>
    </row>
    <row r="80" spans="1:6">
      <c r="B80" s="183">
        <v>164</v>
      </c>
      <c r="D80" s="185" t="s">
        <v>507</v>
      </c>
      <c r="E80" s="185" t="s">
        <v>871</v>
      </c>
      <c r="F80" s="185" t="s">
        <v>871</v>
      </c>
    </row>
    <row r="81" spans="1:6">
      <c r="A81" s="191"/>
      <c r="B81" s="183">
        <v>165</v>
      </c>
      <c r="C81" s="188" t="s">
        <v>414</v>
      </c>
      <c r="D81" s="186" t="s">
        <v>435</v>
      </c>
      <c r="E81" s="186" t="s">
        <v>872</v>
      </c>
      <c r="F81" s="186" t="s">
        <v>872</v>
      </c>
    </row>
    <row r="82" spans="1:6">
      <c r="A82" s="191"/>
      <c r="B82" s="183">
        <v>166</v>
      </c>
      <c r="C82" s="188" t="s">
        <v>414</v>
      </c>
      <c r="D82" s="186" t="s">
        <v>436</v>
      </c>
      <c r="E82" s="186" t="s">
        <v>873</v>
      </c>
      <c r="F82" s="186" t="s">
        <v>873</v>
      </c>
    </row>
    <row r="83" spans="1:6">
      <c r="A83" s="191"/>
      <c r="B83" s="183">
        <v>167</v>
      </c>
      <c r="C83" s="188" t="s">
        <v>414</v>
      </c>
      <c r="D83" s="186" t="s">
        <v>437</v>
      </c>
      <c r="E83" s="186" t="s">
        <v>874</v>
      </c>
      <c r="F83" s="186" t="s">
        <v>874</v>
      </c>
    </row>
    <row r="84" spans="1:6">
      <c r="A84" s="191"/>
      <c r="B84" s="183">
        <v>168</v>
      </c>
      <c r="C84" s="188" t="s">
        <v>414</v>
      </c>
      <c r="D84" s="186" t="s">
        <v>422</v>
      </c>
      <c r="E84" s="186" t="s">
        <v>875</v>
      </c>
      <c r="F84" s="186" t="s">
        <v>875</v>
      </c>
    </row>
    <row r="85" spans="1:6">
      <c r="B85" s="183">
        <v>169</v>
      </c>
      <c r="D85" s="185" t="s">
        <v>53</v>
      </c>
      <c r="E85" s="185" t="s">
        <v>876</v>
      </c>
      <c r="F85" s="185" t="s">
        <v>876</v>
      </c>
    </row>
    <row r="86" spans="1:6">
      <c r="B86" s="183">
        <v>170</v>
      </c>
      <c r="D86" s="185" t="s">
        <v>54</v>
      </c>
      <c r="E86" s="185" t="s">
        <v>877</v>
      </c>
      <c r="F86" s="185" t="s">
        <v>877</v>
      </c>
    </row>
    <row r="87" spans="1:6">
      <c r="B87" s="183">
        <v>171</v>
      </c>
      <c r="D87" s="185" t="s">
        <v>438</v>
      </c>
      <c r="E87" s="185" t="s">
        <v>878</v>
      </c>
      <c r="F87" s="185" t="s">
        <v>878</v>
      </c>
    </row>
    <row r="88" spans="1:6">
      <c r="B88" s="183">
        <v>172</v>
      </c>
      <c r="D88" s="185" t="s">
        <v>55</v>
      </c>
      <c r="E88" s="185" t="s">
        <v>879</v>
      </c>
      <c r="F88" s="185" t="s">
        <v>879</v>
      </c>
    </row>
    <row r="89" spans="1:6">
      <c r="B89" s="183">
        <v>173</v>
      </c>
      <c r="D89" s="185" t="s">
        <v>56</v>
      </c>
      <c r="E89" s="185" t="s">
        <v>880</v>
      </c>
      <c r="F89" s="185" t="s">
        <v>880</v>
      </c>
    </row>
    <row r="90" spans="1:6">
      <c r="B90" s="183">
        <v>174</v>
      </c>
      <c r="D90" s="185" t="s">
        <v>57</v>
      </c>
      <c r="E90" s="185" t="s">
        <v>881</v>
      </c>
      <c r="F90" s="185" t="s">
        <v>881</v>
      </c>
    </row>
    <row r="91" spans="1:6">
      <c r="B91" s="183">
        <v>175</v>
      </c>
      <c r="D91" s="185" t="s">
        <v>58</v>
      </c>
      <c r="E91" s="185" t="s">
        <v>882</v>
      </c>
      <c r="F91" s="185" t="s">
        <v>882</v>
      </c>
    </row>
    <row r="92" spans="1:6" ht="24">
      <c r="B92" s="183">
        <v>176</v>
      </c>
      <c r="D92" s="185" t="s">
        <v>59</v>
      </c>
      <c r="E92" s="185" t="s">
        <v>883</v>
      </c>
      <c r="F92" s="185" t="s">
        <v>883</v>
      </c>
    </row>
    <row r="93" spans="1:6">
      <c r="B93" s="183">
        <v>177</v>
      </c>
      <c r="D93" s="185" t="s">
        <v>60</v>
      </c>
      <c r="E93" s="185" t="s">
        <v>884</v>
      </c>
      <c r="F93" s="185" t="s">
        <v>884</v>
      </c>
    </row>
    <row r="94" spans="1:6">
      <c r="B94" s="183">
        <v>178</v>
      </c>
      <c r="D94" s="185" t="s">
        <v>61</v>
      </c>
      <c r="E94" s="185" t="s">
        <v>885</v>
      </c>
      <c r="F94" s="185" t="s">
        <v>885</v>
      </c>
    </row>
    <row r="95" spans="1:6">
      <c r="B95" s="183">
        <v>179</v>
      </c>
      <c r="D95" s="185" t="s">
        <v>62</v>
      </c>
      <c r="E95" s="185" t="s">
        <v>886</v>
      </c>
      <c r="F95" s="185" t="s">
        <v>886</v>
      </c>
    </row>
    <row r="96" spans="1:6">
      <c r="B96" s="183">
        <v>180</v>
      </c>
      <c r="D96" s="185" t="s">
        <v>352</v>
      </c>
      <c r="E96" s="185" t="s">
        <v>887</v>
      </c>
      <c r="F96" s="185" t="s">
        <v>887</v>
      </c>
    </row>
    <row r="97" spans="2:6">
      <c r="B97" s="183">
        <v>181</v>
      </c>
      <c r="C97" s="184" t="s">
        <v>543</v>
      </c>
      <c r="D97" s="185" t="s">
        <v>564</v>
      </c>
      <c r="E97" s="185" t="s">
        <v>888</v>
      </c>
      <c r="F97" s="185" t="s">
        <v>888</v>
      </c>
    </row>
    <row r="98" spans="2:6" ht="36">
      <c r="B98" s="183">
        <v>182</v>
      </c>
      <c r="C98" s="184" t="s">
        <v>543</v>
      </c>
      <c r="D98" s="185" t="s">
        <v>584</v>
      </c>
      <c r="E98" s="185" t="s">
        <v>889</v>
      </c>
      <c r="F98" s="185" t="s">
        <v>889</v>
      </c>
    </row>
    <row r="99" spans="2:6">
      <c r="B99" s="183">
        <v>183</v>
      </c>
      <c r="D99" s="185" t="s">
        <v>63</v>
      </c>
      <c r="E99" s="185" t="s">
        <v>890</v>
      </c>
      <c r="F99" s="185" t="s">
        <v>890</v>
      </c>
    </row>
    <row r="100" spans="2:6">
      <c r="B100" s="183">
        <v>184</v>
      </c>
      <c r="D100" s="185" t="s">
        <v>617</v>
      </c>
      <c r="E100" s="185" t="s">
        <v>891</v>
      </c>
      <c r="F100" s="185" t="s">
        <v>891</v>
      </c>
    </row>
    <row r="101" spans="2:6">
      <c r="B101" s="183">
        <v>185</v>
      </c>
      <c r="D101" s="185" t="s">
        <v>64</v>
      </c>
      <c r="E101" s="185" t="s">
        <v>892</v>
      </c>
      <c r="F101" s="185" t="s">
        <v>892</v>
      </c>
    </row>
    <row r="102" spans="2:6" ht="24">
      <c r="B102" s="183">
        <v>186</v>
      </c>
      <c r="D102" s="185" t="s">
        <v>65</v>
      </c>
      <c r="E102" s="185" t="s">
        <v>893</v>
      </c>
      <c r="F102" s="185" t="s">
        <v>893</v>
      </c>
    </row>
    <row r="103" spans="2:6" ht="24">
      <c r="B103" s="183">
        <v>187</v>
      </c>
      <c r="D103" s="185" t="s">
        <v>66</v>
      </c>
      <c r="E103" s="185" t="s">
        <v>894</v>
      </c>
      <c r="F103" s="185" t="s">
        <v>894</v>
      </c>
    </row>
    <row r="104" spans="2:6" ht="24">
      <c r="B104" s="183">
        <v>188</v>
      </c>
      <c r="D104" s="185" t="s">
        <v>67</v>
      </c>
      <c r="E104" s="185" t="s">
        <v>895</v>
      </c>
      <c r="F104" s="185" t="s">
        <v>895</v>
      </c>
    </row>
    <row r="105" spans="2:6">
      <c r="B105" s="183">
        <v>189</v>
      </c>
      <c r="D105" s="185" t="s">
        <v>68</v>
      </c>
      <c r="E105" s="185" t="s">
        <v>896</v>
      </c>
      <c r="F105" s="185" t="s">
        <v>896</v>
      </c>
    </row>
    <row r="106" spans="2:6">
      <c r="B106" s="183">
        <v>190</v>
      </c>
      <c r="C106" s="184" t="s">
        <v>543</v>
      </c>
      <c r="D106" s="185" t="s">
        <v>562</v>
      </c>
      <c r="E106" s="185" t="s">
        <v>897</v>
      </c>
      <c r="F106" s="185" t="s">
        <v>897</v>
      </c>
    </row>
    <row r="107" spans="2:6">
      <c r="B107" s="183">
        <v>191</v>
      </c>
      <c r="D107" s="185" t="s">
        <v>590</v>
      </c>
      <c r="E107" s="185" t="s">
        <v>898</v>
      </c>
      <c r="F107" s="185" t="s">
        <v>898</v>
      </c>
    </row>
    <row r="108" spans="2:6">
      <c r="B108" s="183">
        <v>192</v>
      </c>
      <c r="D108" s="185" t="s">
        <v>456</v>
      </c>
      <c r="E108" s="185" t="s">
        <v>899</v>
      </c>
      <c r="F108" s="185" t="s">
        <v>899</v>
      </c>
    </row>
    <row r="109" spans="2:6">
      <c r="B109" s="183">
        <v>193</v>
      </c>
      <c r="D109" s="185" t="s">
        <v>457</v>
      </c>
      <c r="E109" s="185" t="s">
        <v>900</v>
      </c>
      <c r="F109" s="185" t="s">
        <v>900</v>
      </c>
    </row>
    <row r="110" spans="2:6">
      <c r="B110" s="183">
        <v>194</v>
      </c>
      <c r="D110" s="185" t="s">
        <v>69</v>
      </c>
      <c r="E110" s="185" t="s">
        <v>901</v>
      </c>
      <c r="F110" s="185" t="s">
        <v>901</v>
      </c>
    </row>
    <row r="111" spans="2:6">
      <c r="B111" s="183">
        <v>195</v>
      </c>
      <c r="D111" s="185" t="s">
        <v>70</v>
      </c>
      <c r="E111" s="185" t="s">
        <v>902</v>
      </c>
      <c r="F111" s="185" t="s">
        <v>902</v>
      </c>
    </row>
    <row r="112" spans="2:6">
      <c r="B112" s="183">
        <v>196</v>
      </c>
      <c r="D112" s="185" t="s">
        <v>353</v>
      </c>
      <c r="E112" s="185" t="s">
        <v>903</v>
      </c>
      <c r="F112" s="185" t="s">
        <v>903</v>
      </c>
    </row>
    <row r="113" spans="2:6" ht="24">
      <c r="B113" s="183">
        <v>197</v>
      </c>
      <c r="D113" s="185" t="s">
        <v>354</v>
      </c>
      <c r="E113" s="185" t="s">
        <v>904</v>
      </c>
      <c r="F113" s="185" t="s">
        <v>904</v>
      </c>
    </row>
    <row r="114" spans="2:6" ht="24">
      <c r="B114" s="183">
        <v>198</v>
      </c>
      <c r="D114" s="185" t="s">
        <v>71</v>
      </c>
      <c r="E114" s="185" t="s">
        <v>905</v>
      </c>
      <c r="F114" s="185" t="s">
        <v>905</v>
      </c>
    </row>
    <row r="115" spans="2:6">
      <c r="B115" s="183">
        <v>199</v>
      </c>
      <c r="D115" s="185" t="s">
        <v>619</v>
      </c>
      <c r="E115" s="185" t="s">
        <v>906</v>
      </c>
      <c r="F115" s="185" t="s">
        <v>906</v>
      </c>
    </row>
    <row r="116" spans="2:6">
      <c r="B116" s="183">
        <v>200</v>
      </c>
      <c r="D116" s="185" t="s">
        <v>72</v>
      </c>
      <c r="E116" s="185" t="s">
        <v>73</v>
      </c>
      <c r="F116" s="185" t="s">
        <v>73</v>
      </c>
    </row>
    <row r="117" spans="2:6">
      <c r="B117" s="183">
        <v>201</v>
      </c>
      <c r="D117" s="185" t="s">
        <v>613</v>
      </c>
      <c r="E117" s="185" t="s">
        <v>907</v>
      </c>
      <c r="F117" s="185" t="s">
        <v>907</v>
      </c>
    </row>
    <row r="118" spans="2:6">
      <c r="B118" s="183">
        <v>202</v>
      </c>
      <c r="D118" s="185" t="s">
        <v>355</v>
      </c>
      <c r="E118" s="185" t="s">
        <v>908</v>
      </c>
      <c r="F118" s="185" t="s">
        <v>908</v>
      </c>
    </row>
    <row r="119" spans="2:6">
      <c r="B119" s="183">
        <v>203</v>
      </c>
      <c r="D119" s="185" t="s">
        <v>356</v>
      </c>
      <c r="E119" s="185" t="s">
        <v>909</v>
      </c>
      <c r="F119" s="185" t="s">
        <v>909</v>
      </c>
    </row>
    <row r="120" spans="2:6">
      <c r="B120" s="183">
        <v>204</v>
      </c>
      <c r="D120" s="185" t="s">
        <v>357</v>
      </c>
      <c r="E120" s="185" t="s">
        <v>910</v>
      </c>
      <c r="F120" s="185" t="s">
        <v>910</v>
      </c>
    </row>
    <row r="121" spans="2:6">
      <c r="B121" s="183">
        <v>205</v>
      </c>
      <c r="D121" s="185" t="s">
        <v>604</v>
      </c>
      <c r="E121" s="185" t="s">
        <v>911</v>
      </c>
      <c r="F121" s="185" t="s">
        <v>911</v>
      </c>
    </row>
    <row r="122" spans="2:6">
      <c r="B122" s="183">
        <v>206</v>
      </c>
      <c r="D122" s="185" t="s">
        <v>597</v>
      </c>
      <c r="E122" s="185" t="s">
        <v>912</v>
      </c>
      <c r="F122" s="185" t="s">
        <v>912</v>
      </c>
    </row>
    <row r="123" spans="2:6">
      <c r="B123" s="183">
        <v>207</v>
      </c>
      <c r="D123" s="185" t="s">
        <v>74</v>
      </c>
      <c r="E123" s="185" t="s">
        <v>913</v>
      </c>
      <c r="F123" s="185" t="s">
        <v>913</v>
      </c>
    </row>
    <row r="124" spans="2:6" ht="24">
      <c r="B124" s="183">
        <v>208</v>
      </c>
      <c r="D124" s="185" t="s">
        <v>75</v>
      </c>
      <c r="E124" s="185" t="s">
        <v>914</v>
      </c>
      <c r="F124" s="185" t="s">
        <v>914</v>
      </c>
    </row>
    <row r="125" spans="2:6" ht="24">
      <c r="B125" s="183">
        <v>209</v>
      </c>
      <c r="D125" s="185" t="s">
        <v>76</v>
      </c>
      <c r="E125" s="185" t="s">
        <v>915</v>
      </c>
      <c r="F125" s="185" t="s">
        <v>915</v>
      </c>
    </row>
    <row r="126" spans="2:6">
      <c r="B126" s="183">
        <v>210</v>
      </c>
      <c r="D126" s="185" t="s">
        <v>458</v>
      </c>
      <c r="E126" s="185" t="s">
        <v>916</v>
      </c>
      <c r="F126" s="185" t="s">
        <v>916</v>
      </c>
    </row>
    <row r="127" spans="2:6">
      <c r="B127" s="183">
        <v>211</v>
      </c>
      <c r="D127" s="185" t="s">
        <v>77</v>
      </c>
      <c r="E127" s="185" t="s">
        <v>77</v>
      </c>
      <c r="F127" s="185" t="s">
        <v>77</v>
      </c>
    </row>
    <row r="128" spans="2:6">
      <c r="B128" s="183">
        <v>212</v>
      </c>
      <c r="D128" s="185" t="s">
        <v>78</v>
      </c>
      <c r="E128" s="185" t="s">
        <v>917</v>
      </c>
      <c r="F128" s="185" t="s">
        <v>917</v>
      </c>
    </row>
    <row r="129" spans="2:6">
      <c r="B129" s="183">
        <v>213</v>
      </c>
      <c r="D129" s="185" t="s">
        <v>79</v>
      </c>
      <c r="E129" s="185" t="s">
        <v>918</v>
      </c>
      <c r="F129" s="185" t="s">
        <v>918</v>
      </c>
    </row>
    <row r="130" spans="2:6">
      <c r="B130" s="183">
        <v>214</v>
      </c>
      <c r="D130" s="185" t="s">
        <v>80</v>
      </c>
      <c r="E130" s="185" t="s">
        <v>919</v>
      </c>
      <c r="F130" s="185" t="s">
        <v>919</v>
      </c>
    </row>
    <row r="131" spans="2:6">
      <c r="B131" s="183">
        <v>215</v>
      </c>
      <c r="D131" s="185" t="s">
        <v>358</v>
      </c>
      <c r="E131" s="185" t="s">
        <v>920</v>
      </c>
      <c r="F131" s="185" t="s">
        <v>920</v>
      </c>
    </row>
    <row r="132" spans="2:6">
      <c r="B132" s="183">
        <v>216</v>
      </c>
      <c r="D132" s="185" t="s">
        <v>81</v>
      </c>
      <c r="E132" s="185" t="s">
        <v>921</v>
      </c>
      <c r="F132" s="185" t="s">
        <v>921</v>
      </c>
    </row>
    <row r="133" spans="2:6">
      <c r="B133" s="183">
        <v>217</v>
      </c>
      <c r="D133" s="185" t="s">
        <v>359</v>
      </c>
      <c r="E133" s="185" t="s">
        <v>922</v>
      </c>
      <c r="F133" s="185" t="s">
        <v>922</v>
      </c>
    </row>
    <row r="134" spans="2:6">
      <c r="B134" s="183">
        <v>218</v>
      </c>
      <c r="D134" s="185" t="s">
        <v>82</v>
      </c>
      <c r="E134" s="185" t="s">
        <v>923</v>
      </c>
      <c r="F134" s="185" t="s">
        <v>923</v>
      </c>
    </row>
    <row r="135" spans="2:6">
      <c r="B135" s="183">
        <v>219</v>
      </c>
      <c r="D135" s="185" t="s">
        <v>83</v>
      </c>
      <c r="E135" s="185" t="s">
        <v>924</v>
      </c>
      <c r="F135" s="185" t="s">
        <v>924</v>
      </c>
    </row>
    <row r="136" spans="2:6">
      <c r="B136" s="183">
        <v>220</v>
      </c>
      <c r="D136" s="185" t="s">
        <v>84</v>
      </c>
      <c r="E136" s="185" t="s">
        <v>925</v>
      </c>
      <c r="F136" s="185" t="s">
        <v>925</v>
      </c>
    </row>
    <row r="137" spans="2:6">
      <c r="B137" s="183">
        <v>221</v>
      </c>
      <c r="D137" s="185" t="s">
        <v>360</v>
      </c>
      <c r="E137" s="185" t="s">
        <v>926</v>
      </c>
      <c r="F137" s="185" t="s">
        <v>926</v>
      </c>
    </row>
    <row r="138" spans="2:6">
      <c r="B138" s="183">
        <v>222</v>
      </c>
      <c r="D138" s="185" t="s">
        <v>85</v>
      </c>
      <c r="E138" s="185" t="s">
        <v>927</v>
      </c>
      <c r="F138" s="185" t="s">
        <v>927</v>
      </c>
    </row>
    <row r="139" spans="2:6">
      <c r="B139" s="183">
        <v>223</v>
      </c>
      <c r="D139" s="185" t="s">
        <v>86</v>
      </c>
      <c r="E139" s="185" t="s">
        <v>928</v>
      </c>
      <c r="F139" s="185" t="s">
        <v>928</v>
      </c>
    </row>
    <row r="140" spans="2:6">
      <c r="B140" s="183">
        <v>224</v>
      </c>
      <c r="C140" s="184" t="s">
        <v>466</v>
      </c>
      <c r="D140" s="185" t="s">
        <v>475</v>
      </c>
      <c r="E140" s="185" t="s">
        <v>929</v>
      </c>
      <c r="F140" s="185" t="s">
        <v>929</v>
      </c>
    </row>
    <row r="141" spans="2:6">
      <c r="B141" s="183">
        <v>225</v>
      </c>
      <c r="D141" s="185" t="s">
        <v>87</v>
      </c>
      <c r="E141" s="185" t="s">
        <v>930</v>
      </c>
      <c r="F141" s="185" t="s">
        <v>930</v>
      </c>
    </row>
    <row r="142" spans="2:6">
      <c r="B142" s="183">
        <v>226</v>
      </c>
      <c r="D142" s="185" t="s">
        <v>586</v>
      </c>
      <c r="E142" s="185" t="s">
        <v>931</v>
      </c>
      <c r="F142" s="185" t="s">
        <v>931</v>
      </c>
    </row>
    <row r="143" spans="2:6">
      <c r="B143" s="183">
        <v>227</v>
      </c>
      <c r="D143" s="185" t="s">
        <v>361</v>
      </c>
      <c r="E143" s="185" t="s">
        <v>932</v>
      </c>
      <c r="F143" s="185" t="s">
        <v>932</v>
      </c>
    </row>
    <row r="144" spans="2:6">
      <c r="B144" s="183">
        <v>228</v>
      </c>
      <c r="D144" s="185" t="s">
        <v>362</v>
      </c>
      <c r="E144" s="185" t="s">
        <v>933</v>
      </c>
      <c r="F144" s="185" t="s">
        <v>933</v>
      </c>
    </row>
    <row r="145" spans="2:6">
      <c r="B145" s="183">
        <v>229</v>
      </c>
      <c r="D145" s="185" t="s">
        <v>540</v>
      </c>
      <c r="E145" s="185" t="s">
        <v>934</v>
      </c>
      <c r="F145" s="185" t="s">
        <v>934</v>
      </c>
    </row>
    <row r="146" spans="2:6">
      <c r="B146" s="183">
        <v>230</v>
      </c>
      <c r="D146" s="185" t="s">
        <v>539</v>
      </c>
      <c r="E146" s="185" t="s">
        <v>935</v>
      </c>
      <c r="F146" s="185" t="s">
        <v>935</v>
      </c>
    </row>
    <row r="147" spans="2:6">
      <c r="B147" s="183">
        <v>231</v>
      </c>
      <c r="D147" s="185" t="s">
        <v>363</v>
      </c>
      <c r="E147" s="185" t="s">
        <v>936</v>
      </c>
      <c r="F147" s="185" t="s">
        <v>936</v>
      </c>
    </row>
    <row r="148" spans="2:6">
      <c r="B148" s="183">
        <v>232</v>
      </c>
      <c r="D148" s="185" t="s">
        <v>601</v>
      </c>
      <c r="E148" s="185" t="s">
        <v>937</v>
      </c>
      <c r="F148" s="185" t="s">
        <v>937</v>
      </c>
    </row>
    <row r="149" spans="2:6">
      <c r="B149" s="183">
        <v>233</v>
      </c>
      <c r="D149" s="185" t="s">
        <v>364</v>
      </c>
      <c r="E149" s="185" t="s">
        <v>938</v>
      </c>
      <c r="F149" s="185" t="s">
        <v>938</v>
      </c>
    </row>
    <row r="150" spans="2:6">
      <c r="B150" s="183">
        <v>234</v>
      </c>
      <c r="D150" s="185" t="s">
        <v>365</v>
      </c>
      <c r="E150" s="185" t="s">
        <v>939</v>
      </c>
      <c r="F150" s="185" t="s">
        <v>939</v>
      </c>
    </row>
    <row r="151" spans="2:6">
      <c r="B151" s="183">
        <v>235</v>
      </c>
      <c r="D151" s="185" t="s">
        <v>88</v>
      </c>
      <c r="E151" s="185" t="s">
        <v>940</v>
      </c>
      <c r="F151" s="185" t="s">
        <v>940</v>
      </c>
    </row>
    <row r="152" spans="2:6">
      <c r="B152" s="183">
        <v>236</v>
      </c>
      <c r="D152" s="185" t="s">
        <v>366</v>
      </c>
      <c r="E152" s="185" t="s">
        <v>941</v>
      </c>
      <c r="F152" s="185" t="s">
        <v>941</v>
      </c>
    </row>
    <row r="153" spans="2:6">
      <c r="B153" s="183">
        <v>237</v>
      </c>
      <c r="D153" s="185" t="s">
        <v>598</v>
      </c>
      <c r="E153" s="185" t="s">
        <v>942</v>
      </c>
      <c r="F153" s="185" t="s">
        <v>942</v>
      </c>
    </row>
    <row r="154" spans="2:6">
      <c r="B154" s="183">
        <v>238</v>
      </c>
      <c r="D154" s="185" t="s">
        <v>89</v>
      </c>
      <c r="E154" s="185" t="s">
        <v>943</v>
      </c>
      <c r="F154" s="185" t="s">
        <v>943</v>
      </c>
    </row>
    <row r="155" spans="2:6">
      <c r="B155" s="183">
        <v>239</v>
      </c>
      <c r="D155" s="185" t="s">
        <v>90</v>
      </c>
      <c r="E155" s="185" t="s">
        <v>944</v>
      </c>
      <c r="F155" s="185" t="s">
        <v>944</v>
      </c>
    </row>
    <row r="156" spans="2:6">
      <c r="B156" s="183">
        <v>240</v>
      </c>
      <c r="D156" s="185" t="s">
        <v>91</v>
      </c>
      <c r="E156" s="185" t="s">
        <v>945</v>
      </c>
      <c r="F156" s="185" t="s">
        <v>945</v>
      </c>
    </row>
    <row r="157" spans="2:6">
      <c r="B157" s="183">
        <v>241</v>
      </c>
      <c r="D157" s="185" t="s">
        <v>367</v>
      </c>
      <c r="E157" s="185" t="s">
        <v>946</v>
      </c>
      <c r="F157" s="185" t="s">
        <v>946</v>
      </c>
    </row>
    <row r="158" spans="2:6">
      <c r="B158" s="183">
        <v>242</v>
      </c>
      <c r="D158" s="185" t="s">
        <v>368</v>
      </c>
      <c r="E158" s="185" t="s">
        <v>947</v>
      </c>
      <c r="F158" s="185" t="s">
        <v>947</v>
      </c>
    </row>
    <row r="159" spans="2:6">
      <c r="B159" s="183">
        <v>243</v>
      </c>
      <c r="D159" s="185" t="s">
        <v>587</v>
      </c>
      <c r="E159" s="185" t="s">
        <v>948</v>
      </c>
      <c r="F159" s="185" t="s">
        <v>948</v>
      </c>
    </row>
    <row r="160" spans="2:6">
      <c r="B160" s="183">
        <v>244</v>
      </c>
      <c r="D160" s="185" t="s">
        <v>643</v>
      </c>
      <c r="E160" s="185" t="s">
        <v>949</v>
      </c>
      <c r="F160" s="185" t="s">
        <v>949</v>
      </c>
    </row>
    <row r="161" spans="2:6">
      <c r="B161" s="183">
        <v>245</v>
      </c>
      <c r="D161" s="185" t="s">
        <v>644</v>
      </c>
      <c r="E161" s="185" t="s">
        <v>950</v>
      </c>
      <c r="F161" s="185" t="s">
        <v>950</v>
      </c>
    </row>
    <row r="162" spans="2:6">
      <c r="B162" s="183">
        <v>246</v>
      </c>
      <c r="D162" s="185" t="s">
        <v>369</v>
      </c>
      <c r="E162" s="185" t="s">
        <v>951</v>
      </c>
      <c r="F162" s="185" t="s">
        <v>951</v>
      </c>
    </row>
    <row r="163" spans="2:6">
      <c r="B163" s="183">
        <v>247</v>
      </c>
      <c r="D163" s="185" t="s">
        <v>589</v>
      </c>
      <c r="E163" s="185" t="s">
        <v>952</v>
      </c>
      <c r="F163" s="185" t="s">
        <v>952</v>
      </c>
    </row>
    <row r="164" spans="2:6">
      <c r="B164" s="183">
        <v>248</v>
      </c>
      <c r="D164" s="185" t="s">
        <v>370</v>
      </c>
      <c r="E164" s="185" t="s">
        <v>953</v>
      </c>
      <c r="F164" s="185" t="s">
        <v>953</v>
      </c>
    </row>
    <row r="165" spans="2:6">
      <c r="B165" s="183">
        <v>249</v>
      </c>
      <c r="D165" s="185" t="s">
        <v>371</v>
      </c>
      <c r="E165" s="185" t="s">
        <v>954</v>
      </c>
      <c r="F165" s="185" t="s">
        <v>954</v>
      </c>
    </row>
    <row r="166" spans="2:6">
      <c r="B166" s="183">
        <v>250</v>
      </c>
      <c r="D166" s="185" t="s">
        <v>92</v>
      </c>
      <c r="E166" s="185" t="s">
        <v>955</v>
      </c>
      <c r="F166" s="185" t="s">
        <v>955</v>
      </c>
    </row>
    <row r="167" spans="2:6">
      <c r="B167" s="183">
        <v>251</v>
      </c>
      <c r="D167" s="185" t="s">
        <v>93</v>
      </c>
      <c r="E167" s="185" t="s">
        <v>956</v>
      </c>
      <c r="F167" s="185" t="s">
        <v>956</v>
      </c>
    </row>
    <row r="168" spans="2:6">
      <c r="B168" s="183">
        <v>252</v>
      </c>
      <c r="D168" s="185" t="s">
        <v>588</v>
      </c>
      <c r="E168" s="185" t="s">
        <v>957</v>
      </c>
      <c r="F168" s="185" t="s">
        <v>957</v>
      </c>
    </row>
    <row r="169" spans="2:6">
      <c r="B169" s="183">
        <v>253</v>
      </c>
      <c r="D169" s="185" t="s">
        <v>653</v>
      </c>
      <c r="E169" s="185" t="s">
        <v>958</v>
      </c>
      <c r="F169" s="185" t="s">
        <v>958</v>
      </c>
    </row>
    <row r="170" spans="2:6">
      <c r="B170" s="183">
        <v>254</v>
      </c>
      <c r="D170" s="185" t="s">
        <v>94</v>
      </c>
      <c r="E170" s="185" t="s">
        <v>959</v>
      </c>
      <c r="F170" s="185" t="s">
        <v>959</v>
      </c>
    </row>
    <row r="171" spans="2:6">
      <c r="B171" s="183">
        <v>255</v>
      </c>
      <c r="C171" s="184" t="s">
        <v>466</v>
      </c>
      <c r="D171" s="185" t="s">
        <v>472</v>
      </c>
      <c r="E171" s="185" t="s">
        <v>960</v>
      </c>
      <c r="F171" s="185" t="s">
        <v>960</v>
      </c>
    </row>
    <row r="172" spans="2:6">
      <c r="B172" s="183">
        <v>256</v>
      </c>
      <c r="D172" s="185" t="s">
        <v>95</v>
      </c>
      <c r="E172" s="185" t="s">
        <v>961</v>
      </c>
      <c r="F172" s="185" t="s">
        <v>961</v>
      </c>
    </row>
    <row r="173" spans="2:6">
      <c r="B173" s="183">
        <v>257</v>
      </c>
      <c r="D173" s="185" t="s">
        <v>372</v>
      </c>
      <c r="E173" s="185" t="s">
        <v>962</v>
      </c>
      <c r="F173" s="185" t="s">
        <v>962</v>
      </c>
    </row>
    <row r="174" spans="2:6">
      <c r="B174" s="183">
        <v>258</v>
      </c>
      <c r="D174" s="185" t="s">
        <v>373</v>
      </c>
      <c r="E174" s="185" t="s">
        <v>963</v>
      </c>
      <c r="F174" s="185" t="s">
        <v>963</v>
      </c>
    </row>
    <row r="175" spans="2:6">
      <c r="B175" s="183">
        <v>259</v>
      </c>
      <c r="D175" s="185" t="s">
        <v>374</v>
      </c>
      <c r="E175" s="185" t="s">
        <v>964</v>
      </c>
      <c r="F175" s="185" t="s">
        <v>964</v>
      </c>
    </row>
    <row r="176" spans="2:6">
      <c r="B176" s="183">
        <v>260</v>
      </c>
      <c r="D176" s="185" t="s">
        <v>518</v>
      </c>
      <c r="E176" s="185" t="s">
        <v>965</v>
      </c>
      <c r="F176" s="185" t="s">
        <v>965</v>
      </c>
    </row>
    <row r="177" spans="2:6">
      <c r="B177" s="183">
        <v>261</v>
      </c>
      <c r="D177" s="185" t="s">
        <v>520</v>
      </c>
      <c r="E177" s="185" t="s">
        <v>966</v>
      </c>
      <c r="F177" s="185" t="s">
        <v>966</v>
      </c>
    </row>
    <row r="178" spans="2:6" ht="24">
      <c r="B178" s="183">
        <v>262</v>
      </c>
      <c r="D178" s="185" t="s">
        <v>521</v>
      </c>
      <c r="E178" s="185" t="s">
        <v>967</v>
      </c>
      <c r="F178" s="185" t="s">
        <v>967</v>
      </c>
    </row>
    <row r="179" spans="2:6" ht="24">
      <c r="B179" s="183">
        <v>263</v>
      </c>
      <c r="D179" s="185" t="s">
        <v>542</v>
      </c>
      <c r="E179" s="185" t="s">
        <v>968</v>
      </c>
      <c r="F179" s="185" t="s">
        <v>968</v>
      </c>
    </row>
    <row r="180" spans="2:6">
      <c r="B180" s="183">
        <v>264</v>
      </c>
      <c r="D180" s="185" t="s">
        <v>519</v>
      </c>
      <c r="E180" s="185" t="s">
        <v>969</v>
      </c>
      <c r="F180" s="185" t="s">
        <v>969</v>
      </c>
    </row>
    <row r="181" spans="2:6">
      <c r="B181" s="183">
        <v>265</v>
      </c>
      <c r="D181" s="185" t="s">
        <v>523</v>
      </c>
      <c r="E181" s="185" t="s">
        <v>970</v>
      </c>
      <c r="F181" s="185" t="s">
        <v>970</v>
      </c>
    </row>
    <row r="182" spans="2:6">
      <c r="B182" s="183">
        <v>266</v>
      </c>
      <c r="D182" s="185" t="s">
        <v>517</v>
      </c>
      <c r="E182" s="185" t="s">
        <v>971</v>
      </c>
      <c r="F182" s="185" t="s">
        <v>971</v>
      </c>
    </row>
    <row r="183" spans="2:6">
      <c r="B183" s="183">
        <v>267</v>
      </c>
      <c r="D183" s="185" t="s">
        <v>96</v>
      </c>
      <c r="E183" s="185" t="s">
        <v>972</v>
      </c>
      <c r="F183" s="185" t="s">
        <v>972</v>
      </c>
    </row>
    <row r="184" spans="2:6">
      <c r="B184" s="183">
        <v>268</v>
      </c>
      <c r="D184" s="185" t="s">
        <v>608</v>
      </c>
      <c r="E184" s="185" t="s">
        <v>973</v>
      </c>
      <c r="F184" s="185" t="s">
        <v>973</v>
      </c>
    </row>
    <row r="185" spans="2:6">
      <c r="B185" s="183">
        <v>269</v>
      </c>
      <c r="D185" s="185" t="s">
        <v>97</v>
      </c>
      <c r="E185" s="185" t="s">
        <v>974</v>
      </c>
      <c r="F185" s="185" t="s">
        <v>974</v>
      </c>
    </row>
    <row r="186" spans="2:6">
      <c r="B186" s="183">
        <v>270</v>
      </c>
      <c r="D186" s="185" t="s">
        <v>375</v>
      </c>
      <c r="E186" s="185" t="s">
        <v>975</v>
      </c>
      <c r="F186" s="185" t="s">
        <v>975</v>
      </c>
    </row>
    <row r="187" spans="2:6" ht="24">
      <c r="B187" s="183">
        <v>271</v>
      </c>
      <c r="D187" s="185" t="s">
        <v>98</v>
      </c>
      <c r="E187" s="185" t="s">
        <v>976</v>
      </c>
      <c r="F187" s="185" t="s">
        <v>976</v>
      </c>
    </row>
    <row r="188" spans="2:6" ht="36">
      <c r="B188" s="183">
        <v>272</v>
      </c>
      <c r="D188" s="185" t="s">
        <v>99</v>
      </c>
      <c r="E188" s="185" t="s">
        <v>977</v>
      </c>
      <c r="F188" s="185" t="s">
        <v>977</v>
      </c>
    </row>
    <row r="189" spans="2:6">
      <c r="B189" s="183">
        <v>273</v>
      </c>
      <c r="D189" s="185" t="s">
        <v>100</v>
      </c>
      <c r="E189" s="185" t="s">
        <v>978</v>
      </c>
      <c r="F189" s="185" t="s">
        <v>978</v>
      </c>
    </row>
    <row r="190" spans="2:6">
      <c r="B190" s="183">
        <v>274</v>
      </c>
      <c r="D190" s="185" t="s">
        <v>101</v>
      </c>
      <c r="E190" s="185" t="s">
        <v>979</v>
      </c>
      <c r="F190" s="185" t="s">
        <v>979</v>
      </c>
    </row>
    <row r="191" spans="2:6">
      <c r="B191" s="183">
        <v>275</v>
      </c>
      <c r="D191" s="185" t="s">
        <v>102</v>
      </c>
      <c r="E191" s="185" t="s">
        <v>980</v>
      </c>
      <c r="F191" s="185" t="s">
        <v>980</v>
      </c>
    </row>
    <row r="192" spans="2:6">
      <c r="B192" s="183">
        <v>276</v>
      </c>
      <c r="D192" s="185" t="s">
        <v>103</v>
      </c>
      <c r="E192" s="185" t="s">
        <v>981</v>
      </c>
      <c r="F192" s="185" t="s">
        <v>981</v>
      </c>
    </row>
    <row r="193" spans="2:6">
      <c r="B193" s="183">
        <v>277</v>
      </c>
      <c r="D193" s="185" t="s">
        <v>104</v>
      </c>
      <c r="E193" s="185" t="s">
        <v>982</v>
      </c>
      <c r="F193" s="185" t="s">
        <v>982</v>
      </c>
    </row>
    <row r="194" spans="2:6">
      <c r="B194" s="183">
        <v>278</v>
      </c>
      <c r="D194" s="185" t="s">
        <v>105</v>
      </c>
      <c r="E194" s="185" t="s">
        <v>983</v>
      </c>
      <c r="F194" s="185" t="s">
        <v>983</v>
      </c>
    </row>
    <row r="195" spans="2:6">
      <c r="B195" s="183">
        <v>279</v>
      </c>
      <c r="D195" s="185" t="s">
        <v>106</v>
      </c>
      <c r="E195" s="185" t="s">
        <v>984</v>
      </c>
      <c r="F195" s="185" t="s">
        <v>984</v>
      </c>
    </row>
    <row r="196" spans="2:6">
      <c r="B196" s="183">
        <v>280</v>
      </c>
      <c r="D196" s="185" t="s">
        <v>107</v>
      </c>
      <c r="E196" s="185" t="s">
        <v>985</v>
      </c>
      <c r="F196" s="185" t="s">
        <v>985</v>
      </c>
    </row>
    <row r="197" spans="2:6">
      <c r="B197" s="183">
        <v>281</v>
      </c>
      <c r="D197" s="185" t="s">
        <v>108</v>
      </c>
      <c r="E197" s="185" t="s">
        <v>986</v>
      </c>
      <c r="F197" s="185" t="s">
        <v>986</v>
      </c>
    </row>
    <row r="198" spans="2:6">
      <c r="B198" s="183">
        <v>282</v>
      </c>
      <c r="D198" s="185" t="s">
        <v>109</v>
      </c>
      <c r="E198" s="185" t="s">
        <v>987</v>
      </c>
      <c r="F198" s="185" t="s">
        <v>987</v>
      </c>
    </row>
    <row r="199" spans="2:6">
      <c r="B199" s="183">
        <v>283</v>
      </c>
      <c r="D199" s="185" t="s">
        <v>110</v>
      </c>
      <c r="E199" s="185" t="s">
        <v>988</v>
      </c>
      <c r="F199" s="185" t="s">
        <v>988</v>
      </c>
    </row>
    <row r="200" spans="2:6" ht="24">
      <c r="B200" s="183">
        <v>284</v>
      </c>
      <c r="D200" s="185" t="s">
        <v>111</v>
      </c>
      <c r="E200" s="185" t="s">
        <v>989</v>
      </c>
      <c r="F200" s="185" t="s">
        <v>989</v>
      </c>
    </row>
    <row r="201" spans="2:6">
      <c r="B201" s="183">
        <v>285</v>
      </c>
      <c r="D201" s="185" t="s">
        <v>376</v>
      </c>
      <c r="E201" s="185" t="s">
        <v>990</v>
      </c>
      <c r="F201" s="185" t="s">
        <v>990</v>
      </c>
    </row>
    <row r="202" spans="2:6">
      <c r="B202" s="183">
        <v>286</v>
      </c>
      <c r="D202" s="185" t="s">
        <v>112</v>
      </c>
      <c r="E202" s="185" t="s">
        <v>991</v>
      </c>
      <c r="F202" s="185" t="s">
        <v>991</v>
      </c>
    </row>
    <row r="203" spans="2:6">
      <c r="B203" s="183">
        <v>287</v>
      </c>
      <c r="D203" s="185" t="s">
        <v>113</v>
      </c>
      <c r="E203" s="185" t="s">
        <v>992</v>
      </c>
      <c r="F203" s="185" t="s">
        <v>992</v>
      </c>
    </row>
    <row r="204" spans="2:6">
      <c r="B204" s="183">
        <v>288</v>
      </c>
      <c r="D204" s="185" t="s">
        <v>114</v>
      </c>
      <c r="E204" s="185" t="s">
        <v>993</v>
      </c>
      <c r="F204" s="185" t="s">
        <v>993</v>
      </c>
    </row>
    <row r="205" spans="2:6">
      <c r="B205" s="183">
        <v>289</v>
      </c>
      <c r="D205" s="185" t="s">
        <v>377</v>
      </c>
      <c r="E205" s="185" t="s">
        <v>994</v>
      </c>
      <c r="F205" s="185" t="s">
        <v>994</v>
      </c>
    </row>
    <row r="206" spans="2:6">
      <c r="B206" s="183">
        <v>290</v>
      </c>
      <c r="D206" s="185" t="s">
        <v>378</v>
      </c>
      <c r="E206" s="185" t="s">
        <v>995</v>
      </c>
      <c r="F206" s="185" t="s">
        <v>995</v>
      </c>
    </row>
    <row r="207" spans="2:6">
      <c r="B207" s="183">
        <v>291</v>
      </c>
      <c r="D207" s="185" t="s">
        <v>592</v>
      </c>
      <c r="E207" s="185" t="s">
        <v>996</v>
      </c>
      <c r="F207" s="185" t="s">
        <v>996</v>
      </c>
    </row>
    <row r="208" spans="2:6">
      <c r="B208" s="183">
        <v>292</v>
      </c>
      <c r="D208" s="185" t="s">
        <v>621</v>
      </c>
      <c r="E208" s="185" t="s">
        <v>997</v>
      </c>
      <c r="F208" s="185" t="s">
        <v>997</v>
      </c>
    </row>
    <row r="209" spans="2:6">
      <c r="B209" s="183">
        <v>293</v>
      </c>
      <c r="D209" s="185" t="s">
        <v>593</v>
      </c>
      <c r="E209" s="185" t="s">
        <v>998</v>
      </c>
      <c r="F209" s="185" t="s">
        <v>998</v>
      </c>
    </row>
    <row r="210" spans="2:6">
      <c r="B210" s="183">
        <v>294</v>
      </c>
      <c r="D210" s="185" t="s">
        <v>591</v>
      </c>
      <c r="E210" s="185" t="s">
        <v>999</v>
      </c>
      <c r="F210" s="185" t="s">
        <v>999</v>
      </c>
    </row>
    <row r="211" spans="2:6">
      <c r="B211" s="183">
        <v>295</v>
      </c>
      <c r="D211" s="185" t="s">
        <v>379</v>
      </c>
      <c r="E211" s="185" t="s">
        <v>1000</v>
      </c>
      <c r="F211" s="185" t="s">
        <v>1000</v>
      </c>
    </row>
    <row r="212" spans="2:6">
      <c r="B212" s="183">
        <v>296</v>
      </c>
      <c r="D212" s="185" t="s">
        <v>454</v>
      </c>
      <c r="E212" s="185" t="s">
        <v>1001</v>
      </c>
      <c r="F212" s="185" t="s">
        <v>1001</v>
      </c>
    </row>
    <row r="213" spans="2:6">
      <c r="B213" s="183">
        <v>297</v>
      </c>
      <c r="D213" s="185" t="s">
        <v>115</v>
      </c>
      <c r="E213" s="185" t="s">
        <v>1002</v>
      </c>
      <c r="F213" s="185" t="s">
        <v>1002</v>
      </c>
    </row>
    <row r="214" spans="2:6">
      <c r="B214" s="183">
        <v>298</v>
      </c>
      <c r="C214" s="184" t="s">
        <v>543</v>
      </c>
      <c r="D214" s="185" t="s">
        <v>579</v>
      </c>
      <c r="E214" s="185" t="s">
        <v>1003</v>
      </c>
      <c r="F214" s="185" t="s">
        <v>1003</v>
      </c>
    </row>
    <row r="215" spans="2:6">
      <c r="B215" s="183">
        <v>299</v>
      </c>
      <c r="D215" s="185" t="s">
        <v>600</v>
      </c>
      <c r="E215" s="185" t="s">
        <v>1004</v>
      </c>
      <c r="F215" s="185" t="s">
        <v>1004</v>
      </c>
    </row>
    <row r="216" spans="2:6">
      <c r="B216" s="183">
        <v>300</v>
      </c>
      <c r="D216" s="185" t="s">
        <v>448</v>
      </c>
      <c r="E216" s="185" t="s">
        <v>1005</v>
      </c>
      <c r="F216" s="185" t="s">
        <v>1005</v>
      </c>
    </row>
    <row r="217" spans="2:6">
      <c r="B217" s="183">
        <v>301</v>
      </c>
      <c r="D217" s="185" t="s">
        <v>487</v>
      </c>
      <c r="E217" s="185" t="s">
        <v>1006</v>
      </c>
      <c r="F217" s="185" t="s">
        <v>1006</v>
      </c>
    </row>
    <row r="218" spans="2:6">
      <c r="B218" s="183">
        <v>302</v>
      </c>
      <c r="C218" s="184" t="s">
        <v>543</v>
      </c>
      <c r="D218" s="190" t="s">
        <v>634</v>
      </c>
      <c r="E218" s="190" t="s">
        <v>1007</v>
      </c>
      <c r="F218" s="190" t="s">
        <v>1007</v>
      </c>
    </row>
    <row r="219" spans="2:6">
      <c r="B219" s="183">
        <v>303</v>
      </c>
      <c r="C219" s="184" t="s">
        <v>543</v>
      </c>
      <c r="D219" s="190" t="s">
        <v>551</v>
      </c>
      <c r="E219" s="190" t="s">
        <v>1008</v>
      </c>
      <c r="F219" s="190" t="s">
        <v>1008</v>
      </c>
    </row>
    <row r="220" spans="2:6">
      <c r="B220" s="183">
        <v>304</v>
      </c>
      <c r="C220" s="184" t="s">
        <v>543</v>
      </c>
      <c r="D220" s="190" t="s">
        <v>636</v>
      </c>
      <c r="E220" s="190" t="s">
        <v>1009</v>
      </c>
      <c r="F220" s="190" t="s">
        <v>1009</v>
      </c>
    </row>
    <row r="221" spans="2:6">
      <c r="B221" s="183">
        <v>305</v>
      </c>
      <c r="C221" s="184" t="s">
        <v>543</v>
      </c>
      <c r="D221" s="193" t="s">
        <v>796</v>
      </c>
      <c r="E221" s="193" t="s">
        <v>797</v>
      </c>
      <c r="F221" s="193" t="s">
        <v>797</v>
      </c>
    </row>
    <row r="222" spans="2:6">
      <c r="B222" s="183">
        <v>306</v>
      </c>
      <c r="C222" s="184" t="s">
        <v>543</v>
      </c>
      <c r="D222" s="190" t="s">
        <v>781</v>
      </c>
      <c r="E222" s="190" t="s">
        <v>635</v>
      </c>
      <c r="F222" s="190" t="s">
        <v>635</v>
      </c>
    </row>
    <row r="223" spans="2:6">
      <c r="B223" s="183">
        <v>307</v>
      </c>
      <c r="C223" s="184" t="s">
        <v>543</v>
      </c>
      <c r="D223" s="190" t="s">
        <v>783</v>
      </c>
      <c r="E223" s="190" t="s">
        <v>630</v>
      </c>
      <c r="F223" s="190" t="s">
        <v>630</v>
      </c>
    </row>
    <row r="224" spans="2:6">
      <c r="B224" s="183">
        <v>308</v>
      </c>
      <c r="C224" s="184" t="s">
        <v>543</v>
      </c>
      <c r="D224" s="190" t="s">
        <v>784</v>
      </c>
      <c r="E224" s="190" t="s">
        <v>631</v>
      </c>
      <c r="F224" s="190" t="s">
        <v>631</v>
      </c>
    </row>
    <row r="225" spans="2:6">
      <c r="B225" s="183">
        <v>309</v>
      </c>
      <c r="C225" s="184" t="s">
        <v>543</v>
      </c>
      <c r="D225" s="190" t="s">
        <v>785</v>
      </c>
      <c r="E225" s="190" t="s">
        <v>632</v>
      </c>
      <c r="F225" s="190" t="s">
        <v>632</v>
      </c>
    </row>
    <row r="226" spans="2:6">
      <c r="B226" s="183">
        <v>310</v>
      </c>
      <c r="C226" s="184" t="s">
        <v>543</v>
      </c>
      <c r="D226" s="190" t="s">
        <v>786</v>
      </c>
      <c r="E226" s="190" t="s">
        <v>633</v>
      </c>
      <c r="F226" s="190" t="s">
        <v>633</v>
      </c>
    </row>
    <row r="227" spans="2:6">
      <c r="B227" s="183">
        <v>311</v>
      </c>
      <c r="C227" s="184" t="s">
        <v>543</v>
      </c>
      <c r="D227" s="190" t="s">
        <v>787</v>
      </c>
      <c r="E227" s="190" t="s">
        <v>637</v>
      </c>
      <c r="F227" s="190" t="s">
        <v>637</v>
      </c>
    </row>
    <row r="228" spans="2:6">
      <c r="B228" s="183">
        <v>312</v>
      </c>
      <c r="C228" s="184" t="s">
        <v>543</v>
      </c>
      <c r="D228" s="190" t="s">
        <v>788</v>
      </c>
      <c r="E228" s="190" t="s">
        <v>638</v>
      </c>
      <c r="F228" s="190" t="s">
        <v>638</v>
      </c>
    </row>
    <row r="229" spans="2:6">
      <c r="B229" s="183">
        <v>313</v>
      </c>
      <c r="C229" s="184" t="s">
        <v>543</v>
      </c>
      <c r="D229" s="190" t="s">
        <v>789</v>
      </c>
      <c r="E229" s="190" t="s">
        <v>639</v>
      </c>
      <c r="F229" s="190" t="s">
        <v>639</v>
      </c>
    </row>
    <row r="230" spans="2:6">
      <c r="B230" s="183">
        <v>314</v>
      </c>
      <c r="C230" s="184" t="s">
        <v>543</v>
      </c>
      <c r="D230" s="190" t="s">
        <v>790</v>
      </c>
      <c r="E230" s="190" t="s">
        <v>640</v>
      </c>
      <c r="F230" s="190" t="s">
        <v>640</v>
      </c>
    </row>
    <row r="231" spans="2:6">
      <c r="B231" s="183">
        <v>315</v>
      </c>
      <c r="C231" s="184" t="s">
        <v>543</v>
      </c>
      <c r="D231" s="190" t="s">
        <v>791</v>
      </c>
      <c r="E231" s="185" t="s">
        <v>544</v>
      </c>
      <c r="F231" s="185" t="s">
        <v>544</v>
      </c>
    </row>
    <row r="232" spans="2:6">
      <c r="B232" s="183">
        <v>316</v>
      </c>
      <c r="C232" s="184" t="s">
        <v>543</v>
      </c>
      <c r="D232" s="190" t="s">
        <v>792</v>
      </c>
      <c r="E232" s="185" t="s">
        <v>545</v>
      </c>
      <c r="F232" s="185" t="s">
        <v>545</v>
      </c>
    </row>
    <row r="233" spans="2:6">
      <c r="B233" s="183">
        <v>317</v>
      </c>
      <c r="C233" s="184" t="s">
        <v>543</v>
      </c>
      <c r="D233" s="190" t="s">
        <v>793</v>
      </c>
      <c r="E233" s="185" t="s">
        <v>546</v>
      </c>
      <c r="F233" s="185" t="s">
        <v>546</v>
      </c>
    </row>
    <row r="234" spans="2:6">
      <c r="B234" s="183">
        <v>318</v>
      </c>
      <c r="C234" s="184" t="s">
        <v>543</v>
      </c>
      <c r="D234" s="190" t="s">
        <v>794</v>
      </c>
      <c r="E234" s="185" t="s">
        <v>547</v>
      </c>
      <c r="F234" s="185" t="s">
        <v>547</v>
      </c>
    </row>
    <row r="235" spans="2:6">
      <c r="B235" s="183">
        <v>319</v>
      </c>
      <c r="C235" s="184" t="s">
        <v>543</v>
      </c>
      <c r="D235" s="190" t="s">
        <v>795</v>
      </c>
      <c r="E235" s="190" t="s">
        <v>581</v>
      </c>
      <c r="F235" s="190" t="s">
        <v>581</v>
      </c>
    </row>
    <row r="236" spans="2:6">
      <c r="B236" s="183">
        <v>320</v>
      </c>
      <c r="C236" s="184" t="s">
        <v>543</v>
      </c>
      <c r="D236" s="190" t="s">
        <v>1349</v>
      </c>
      <c r="E236" s="190" t="s">
        <v>1351</v>
      </c>
      <c r="F236" s="190" t="s">
        <v>1351</v>
      </c>
    </row>
    <row r="237" spans="2:6">
      <c r="B237" s="183">
        <v>321</v>
      </c>
      <c r="C237" s="184" t="s">
        <v>543</v>
      </c>
      <c r="D237" s="190" t="s">
        <v>1350</v>
      </c>
      <c r="E237" s="190" t="s">
        <v>1352</v>
      </c>
      <c r="F237" s="190" t="s">
        <v>1352</v>
      </c>
    </row>
    <row r="238" spans="2:6">
      <c r="B238" s="183">
        <v>322</v>
      </c>
      <c r="C238" s="184" t="s">
        <v>543</v>
      </c>
      <c r="D238" s="190"/>
      <c r="E238" s="190"/>
      <c r="F238" s="190"/>
    </row>
    <row r="239" spans="2:6" ht="24">
      <c r="B239" s="183">
        <v>323</v>
      </c>
      <c r="D239" s="185" t="s">
        <v>116</v>
      </c>
      <c r="E239" s="185" t="s">
        <v>1010</v>
      </c>
      <c r="F239" s="185" t="s">
        <v>1010</v>
      </c>
    </row>
    <row r="240" spans="2:6" ht="24">
      <c r="B240" s="183">
        <v>324</v>
      </c>
      <c r="D240" s="185" t="s">
        <v>117</v>
      </c>
      <c r="E240" s="185" t="s">
        <v>1011</v>
      </c>
      <c r="F240" s="185" t="s">
        <v>1011</v>
      </c>
    </row>
    <row r="241" spans="2:6" ht="24">
      <c r="B241" s="183">
        <v>325</v>
      </c>
      <c r="D241" s="185" t="s">
        <v>118</v>
      </c>
      <c r="E241" s="185" t="s">
        <v>1012</v>
      </c>
      <c r="F241" s="185" t="s">
        <v>1012</v>
      </c>
    </row>
    <row r="242" spans="2:6" ht="24">
      <c r="B242" s="183">
        <v>326</v>
      </c>
      <c r="C242" s="184" t="s">
        <v>543</v>
      </c>
      <c r="D242" s="185" t="s">
        <v>580</v>
      </c>
      <c r="E242" s="185" t="s">
        <v>1013</v>
      </c>
      <c r="F242" s="185" t="s">
        <v>1013</v>
      </c>
    </row>
    <row r="243" spans="2:6">
      <c r="B243" s="183">
        <v>327</v>
      </c>
      <c r="D243" s="185" t="s">
        <v>119</v>
      </c>
      <c r="E243" s="185" t="s">
        <v>1014</v>
      </c>
      <c r="F243" s="185" t="s">
        <v>1014</v>
      </c>
    </row>
    <row r="244" spans="2:6">
      <c r="B244" s="183">
        <v>328</v>
      </c>
      <c r="C244" s="184" t="s">
        <v>466</v>
      </c>
      <c r="D244" s="185" t="s">
        <v>476</v>
      </c>
      <c r="E244" s="185" t="s">
        <v>1015</v>
      </c>
      <c r="F244" s="185" t="s">
        <v>1015</v>
      </c>
    </row>
    <row r="245" spans="2:6">
      <c r="B245" s="183">
        <v>329</v>
      </c>
      <c r="D245" s="185" t="s">
        <v>120</v>
      </c>
      <c r="E245" s="185" t="s">
        <v>1016</v>
      </c>
      <c r="F245" s="185" t="s">
        <v>1016</v>
      </c>
    </row>
    <row r="246" spans="2:6">
      <c r="B246" s="183">
        <v>330</v>
      </c>
      <c r="D246" s="185" t="s">
        <v>121</v>
      </c>
      <c r="E246" s="185" t="s">
        <v>1017</v>
      </c>
      <c r="F246" s="185" t="s">
        <v>1017</v>
      </c>
    </row>
    <row r="247" spans="2:6">
      <c r="B247" s="183">
        <v>331</v>
      </c>
      <c r="D247" s="185" t="s">
        <v>122</v>
      </c>
      <c r="E247" s="185" t="s">
        <v>1018</v>
      </c>
      <c r="F247" s="185" t="s">
        <v>1018</v>
      </c>
    </row>
    <row r="248" spans="2:6">
      <c r="B248" s="183">
        <v>332</v>
      </c>
      <c r="C248" s="184" t="s">
        <v>466</v>
      </c>
      <c r="D248" s="182" t="s">
        <v>468</v>
      </c>
      <c r="E248" s="190" t="s">
        <v>1019</v>
      </c>
      <c r="F248" s="190" t="s">
        <v>1019</v>
      </c>
    </row>
    <row r="249" spans="2:6">
      <c r="B249" s="183">
        <v>333</v>
      </c>
      <c r="C249" s="184" t="s">
        <v>466</v>
      </c>
      <c r="D249" s="182" t="s">
        <v>469</v>
      </c>
      <c r="E249" s="190" t="s">
        <v>1020</v>
      </c>
      <c r="F249" s="190" t="s">
        <v>1020</v>
      </c>
    </row>
    <row r="250" spans="2:6">
      <c r="B250" s="183">
        <v>334</v>
      </c>
      <c r="D250" s="185" t="s">
        <v>123</v>
      </c>
      <c r="E250" s="185" t="s">
        <v>1021</v>
      </c>
      <c r="F250" s="185" t="s">
        <v>1021</v>
      </c>
    </row>
    <row r="251" spans="2:6">
      <c r="B251" s="183">
        <v>335</v>
      </c>
      <c r="C251" s="184" t="s">
        <v>466</v>
      </c>
      <c r="D251" s="185" t="s">
        <v>474</v>
      </c>
      <c r="E251" s="185" t="s">
        <v>1022</v>
      </c>
      <c r="F251" s="185" t="s">
        <v>1022</v>
      </c>
    </row>
    <row r="252" spans="2:6">
      <c r="B252" s="183">
        <v>336</v>
      </c>
      <c r="C252" s="184" t="s">
        <v>466</v>
      </c>
      <c r="D252" s="182" t="s">
        <v>477</v>
      </c>
      <c r="E252" s="190" t="s">
        <v>1023</v>
      </c>
      <c r="F252" s="190" t="s">
        <v>1023</v>
      </c>
    </row>
    <row r="253" spans="2:6" ht="24">
      <c r="B253" s="183">
        <v>337</v>
      </c>
      <c r="D253" s="185" t="s">
        <v>124</v>
      </c>
      <c r="E253" s="185" t="s">
        <v>1024</v>
      </c>
      <c r="F253" s="185" t="s">
        <v>1024</v>
      </c>
    </row>
    <row r="254" spans="2:6" ht="24">
      <c r="B254" s="183">
        <v>338</v>
      </c>
      <c r="D254" s="185" t="s">
        <v>125</v>
      </c>
      <c r="E254" s="185" t="s">
        <v>1025</v>
      </c>
      <c r="F254" s="185" t="s">
        <v>1025</v>
      </c>
    </row>
    <row r="255" spans="2:6">
      <c r="B255" s="183">
        <v>339</v>
      </c>
      <c r="D255" s="185" t="s">
        <v>126</v>
      </c>
      <c r="E255" s="185" t="s">
        <v>1026</v>
      </c>
      <c r="F255" s="185" t="s">
        <v>1026</v>
      </c>
    </row>
    <row r="256" spans="2:6">
      <c r="B256" s="183">
        <v>340</v>
      </c>
      <c r="D256" s="185" t="s">
        <v>127</v>
      </c>
      <c r="E256" s="185" t="s">
        <v>1027</v>
      </c>
      <c r="F256" s="185" t="s">
        <v>1027</v>
      </c>
    </row>
    <row r="257" spans="2:6">
      <c r="B257" s="183">
        <v>341</v>
      </c>
      <c r="D257" s="185" t="s">
        <v>128</v>
      </c>
      <c r="E257" s="185" t="s">
        <v>1028</v>
      </c>
      <c r="F257" s="185" t="s">
        <v>1028</v>
      </c>
    </row>
    <row r="258" spans="2:6">
      <c r="B258" s="183">
        <v>342</v>
      </c>
      <c r="D258" s="185" t="s">
        <v>129</v>
      </c>
      <c r="E258" s="185" t="s">
        <v>1029</v>
      </c>
      <c r="F258" s="185" t="s">
        <v>1029</v>
      </c>
    </row>
    <row r="259" spans="2:6">
      <c r="B259" s="183">
        <v>343</v>
      </c>
      <c r="C259" s="184" t="s">
        <v>543</v>
      </c>
      <c r="D259" s="185" t="s">
        <v>565</v>
      </c>
      <c r="E259" s="185" t="s">
        <v>1030</v>
      </c>
      <c r="F259" s="185" t="s">
        <v>1030</v>
      </c>
    </row>
    <row r="260" spans="2:6">
      <c r="B260" s="183">
        <v>344</v>
      </c>
      <c r="C260" s="184" t="s">
        <v>543</v>
      </c>
      <c r="D260" s="185" t="s">
        <v>567</v>
      </c>
      <c r="E260" s="185" t="s">
        <v>1031</v>
      </c>
      <c r="F260" s="185" t="s">
        <v>1031</v>
      </c>
    </row>
    <row r="261" spans="2:6">
      <c r="B261" s="183">
        <v>345</v>
      </c>
      <c r="D261" s="185" t="s">
        <v>130</v>
      </c>
      <c r="E261" s="185" t="s">
        <v>1032</v>
      </c>
      <c r="F261" s="185" t="s">
        <v>1032</v>
      </c>
    </row>
    <row r="262" spans="2:6" ht="24">
      <c r="B262" s="183">
        <v>346</v>
      </c>
      <c r="C262" s="184" t="s">
        <v>543</v>
      </c>
      <c r="D262" s="185" t="s">
        <v>575</v>
      </c>
      <c r="E262" s="185" t="s">
        <v>1033</v>
      </c>
      <c r="F262" s="185" t="s">
        <v>1033</v>
      </c>
    </row>
    <row r="263" spans="2:6">
      <c r="B263" s="183">
        <v>347</v>
      </c>
      <c r="D263" s="185" t="s">
        <v>380</v>
      </c>
      <c r="E263" s="185" t="s">
        <v>1034</v>
      </c>
      <c r="F263" s="185" t="s">
        <v>1034</v>
      </c>
    </row>
    <row r="264" spans="2:6">
      <c r="B264" s="183">
        <v>348</v>
      </c>
      <c r="D264" s="185" t="s">
        <v>131</v>
      </c>
      <c r="E264" s="185" t="s">
        <v>1035</v>
      </c>
      <c r="F264" s="185" t="s">
        <v>1035</v>
      </c>
    </row>
    <row r="265" spans="2:6">
      <c r="B265" s="183">
        <v>349</v>
      </c>
      <c r="D265" s="185" t="s">
        <v>381</v>
      </c>
      <c r="E265" s="185" t="s">
        <v>1036</v>
      </c>
      <c r="F265" s="185" t="s">
        <v>1036</v>
      </c>
    </row>
    <row r="266" spans="2:6">
      <c r="B266" s="183">
        <v>350</v>
      </c>
      <c r="C266" s="184" t="s">
        <v>543</v>
      </c>
      <c r="D266" s="185" t="s">
        <v>566</v>
      </c>
      <c r="E266" s="185" t="s">
        <v>1037</v>
      </c>
      <c r="F266" s="185" t="s">
        <v>1037</v>
      </c>
    </row>
    <row r="267" spans="2:6">
      <c r="B267" s="183">
        <v>351</v>
      </c>
      <c r="C267" s="184" t="s">
        <v>466</v>
      </c>
      <c r="D267" s="182" t="s">
        <v>467</v>
      </c>
      <c r="E267" s="190" t="s">
        <v>1038</v>
      </c>
      <c r="F267" s="190" t="s">
        <v>1038</v>
      </c>
    </row>
    <row r="268" spans="2:6" ht="24">
      <c r="B268" s="183">
        <v>352</v>
      </c>
      <c r="C268" s="184" t="s">
        <v>543</v>
      </c>
      <c r="D268" s="185" t="s">
        <v>558</v>
      </c>
      <c r="E268" s="185" t="s">
        <v>1039</v>
      </c>
      <c r="F268" s="185" t="s">
        <v>1039</v>
      </c>
    </row>
    <row r="269" spans="2:6" ht="24">
      <c r="B269" s="183">
        <v>353</v>
      </c>
      <c r="D269" s="185" t="s">
        <v>132</v>
      </c>
      <c r="F269" s="185"/>
    </row>
    <row r="270" spans="2:6">
      <c r="B270" s="183">
        <v>354</v>
      </c>
      <c r="D270" s="185" t="s">
        <v>133</v>
      </c>
      <c r="E270" s="185" t="s">
        <v>1040</v>
      </c>
      <c r="F270" s="185" t="s">
        <v>1040</v>
      </c>
    </row>
    <row r="271" spans="2:6">
      <c r="B271" s="183">
        <v>355</v>
      </c>
      <c r="D271" s="185" t="s">
        <v>134</v>
      </c>
      <c r="E271" s="185" t="s">
        <v>1041</v>
      </c>
      <c r="F271" s="185" t="s">
        <v>1041</v>
      </c>
    </row>
    <row r="272" spans="2:6">
      <c r="B272" s="183">
        <v>356</v>
      </c>
      <c r="D272" s="185" t="s">
        <v>135</v>
      </c>
      <c r="E272" s="185" t="s">
        <v>1042</v>
      </c>
      <c r="F272" s="185" t="s">
        <v>1042</v>
      </c>
    </row>
    <row r="273" spans="2:6">
      <c r="B273" s="183">
        <v>357</v>
      </c>
      <c r="C273" s="184" t="s">
        <v>543</v>
      </c>
      <c r="D273" s="185" t="s">
        <v>561</v>
      </c>
      <c r="E273" s="185" t="s">
        <v>1043</v>
      </c>
      <c r="F273" s="185" t="s">
        <v>1043</v>
      </c>
    </row>
    <row r="274" spans="2:6">
      <c r="B274" s="183">
        <v>358</v>
      </c>
      <c r="D274" s="185" t="s">
        <v>136</v>
      </c>
      <c r="E274" s="185" t="s">
        <v>1044</v>
      </c>
      <c r="F274" s="185" t="s">
        <v>1044</v>
      </c>
    </row>
    <row r="275" spans="2:6">
      <c r="B275" s="183">
        <v>359</v>
      </c>
      <c r="D275" s="185" t="s">
        <v>382</v>
      </c>
      <c r="E275" s="185" t="s">
        <v>1045</v>
      </c>
      <c r="F275" s="185" t="s">
        <v>1045</v>
      </c>
    </row>
    <row r="276" spans="2:6">
      <c r="B276" s="183">
        <v>360</v>
      </c>
      <c r="D276" s="185" t="s">
        <v>137</v>
      </c>
      <c r="E276" s="185" t="s">
        <v>1046</v>
      </c>
      <c r="F276" s="185" t="s">
        <v>1046</v>
      </c>
    </row>
    <row r="277" spans="2:6" ht="24">
      <c r="B277" s="183">
        <v>361</v>
      </c>
      <c r="C277" s="184" t="s">
        <v>543</v>
      </c>
      <c r="D277" s="185" t="s">
        <v>557</v>
      </c>
      <c r="E277" s="185" t="s">
        <v>1047</v>
      </c>
      <c r="F277" s="185" t="s">
        <v>1047</v>
      </c>
    </row>
    <row r="278" spans="2:6" ht="36">
      <c r="B278" s="183">
        <v>362</v>
      </c>
      <c r="C278" s="184" t="s">
        <v>543</v>
      </c>
      <c r="D278" s="185" t="s">
        <v>572</v>
      </c>
      <c r="E278" s="185" t="s">
        <v>1048</v>
      </c>
      <c r="F278" s="185" t="s">
        <v>1048</v>
      </c>
    </row>
    <row r="279" spans="2:6">
      <c r="B279" s="183">
        <v>363</v>
      </c>
      <c r="D279" s="185" t="s">
        <v>138</v>
      </c>
      <c r="E279" s="185" t="s">
        <v>1049</v>
      </c>
      <c r="F279" s="185" t="s">
        <v>1049</v>
      </c>
    </row>
    <row r="280" spans="2:6">
      <c r="B280" s="183">
        <v>364</v>
      </c>
      <c r="D280" s="185" t="s">
        <v>1</v>
      </c>
      <c r="E280" s="185" t="s">
        <v>1</v>
      </c>
      <c r="F280" s="185" t="s">
        <v>1</v>
      </c>
    </row>
    <row r="281" spans="2:6">
      <c r="B281" s="183">
        <v>365</v>
      </c>
      <c r="D281" s="185" t="s">
        <v>2</v>
      </c>
      <c r="E281" s="185" t="s">
        <v>2</v>
      </c>
      <c r="F281" s="185" t="s">
        <v>2</v>
      </c>
    </row>
    <row r="282" spans="2:6">
      <c r="B282" s="183">
        <v>366</v>
      </c>
      <c r="D282" s="185" t="s">
        <v>455</v>
      </c>
      <c r="E282" s="185" t="s">
        <v>1050</v>
      </c>
      <c r="F282" s="185" t="s">
        <v>1050</v>
      </c>
    </row>
    <row r="283" spans="2:6">
      <c r="B283" s="183">
        <v>367</v>
      </c>
      <c r="D283" s="185" t="s">
        <v>139</v>
      </c>
      <c r="E283" s="185" t="s">
        <v>140</v>
      </c>
      <c r="F283" s="185" t="s">
        <v>140</v>
      </c>
    </row>
    <row r="284" spans="2:6">
      <c r="B284" s="183">
        <v>368</v>
      </c>
      <c r="D284" s="185" t="s">
        <v>609</v>
      </c>
      <c r="E284" s="185" t="s">
        <v>1051</v>
      </c>
      <c r="F284" s="185" t="s">
        <v>1051</v>
      </c>
    </row>
    <row r="285" spans="2:6">
      <c r="B285" s="183">
        <v>369</v>
      </c>
      <c r="D285" s="185" t="s">
        <v>141</v>
      </c>
      <c r="E285" s="185" t="s">
        <v>439</v>
      </c>
      <c r="F285" s="185" t="s">
        <v>439</v>
      </c>
    </row>
    <row r="286" spans="2:6">
      <c r="B286" s="183">
        <v>370</v>
      </c>
      <c r="D286" s="185" t="s">
        <v>142</v>
      </c>
      <c r="E286" s="185" t="s">
        <v>1052</v>
      </c>
      <c r="F286" s="185" t="s">
        <v>1052</v>
      </c>
    </row>
    <row r="287" spans="2:6">
      <c r="B287" s="183">
        <v>371</v>
      </c>
      <c r="D287" s="185" t="s">
        <v>143</v>
      </c>
      <c r="E287" s="185" t="s">
        <v>1053</v>
      </c>
      <c r="F287" s="185" t="s">
        <v>1053</v>
      </c>
    </row>
    <row r="288" spans="2:6">
      <c r="B288" s="183">
        <v>372</v>
      </c>
      <c r="D288" s="185" t="s">
        <v>383</v>
      </c>
      <c r="E288" s="185" t="s">
        <v>1054</v>
      </c>
      <c r="F288" s="185" t="s">
        <v>1054</v>
      </c>
    </row>
    <row r="289" spans="2:6">
      <c r="B289" s="183">
        <v>373</v>
      </c>
      <c r="D289" s="185" t="s">
        <v>384</v>
      </c>
      <c r="E289" s="185" t="s">
        <v>1055</v>
      </c>
      <c r="F289" s="185" t="s">
        <v>1055</v>
      </c>
    </row>
    <row r="290" spans="2:6">
      <c r="B290" s="183">
        <v>374</v>
      </c>
      <c r="D290" s="185" t="s">
        <v>385</v>
      </c>
      <c r="E290" s="185" t="s">
        <v>1054</v>
      </c>
      <c r="F290" s="185" t="s">
        <v>1054</v>
      </c>
    </row>
    <row r="291" spans="2:6">
      <c r="B291" s="183">
        <v>375</v>
      </c>
      <c r="C291" s="184" t="s">
        <v>543</v>
      </c>
      <c r="D291" s="185" t="s">
        <v>549</v>
      </c>
      <c r="E291" s="185" t="s">
        <v>1056</v>
      </c>
      <c r="F291" s="185" t="s">
        <v>1056</v>
      </c>
    </row>
    <row r="292" spans="2:6">
      <c r="B292" s="183">
        <v>376</v>
      </c>
      <c r="D292" s="185" t="s">
        <v>144</v>
      </c>
      <c r="E292" s="185" t="s">
        <v>1057</v>
      </c>
      <c r="F292" s="185" t="s">
        <v>1057</v>
      </c>
    </row>
    <row r="293" spans="2:6">
      <c r="B293" s="183">
        <v>377</v>
      </c>
      <c r="D293" s="185" t="s">
        <v>386</v>
      </c>
      <c r="E293" s="185" t="s">
        <v>1058</v>
      </c>
      <c r="F293" s="185" t="s">
        <v>1058</v>
      </c>
    </row>
    <row r="294" spans="2:6">
      <c r="B294" s="183">
        <v>378</v>
      </c>
      <c r="D294" s="185" t="s">
        <v>145</v>
      </c>
      <c r="E294" s="185" t="s">
        <v>1059</v>
      </c>
      <c r="F294" s="185" t="s">
        <v>1059</v>
      </c>
    </row>
    <row r="295" spans="2:6">
      <c r="B295" s="183">
        <v>379</v>
      </c>
      <c r="C295" s="184" t="s">
        <v>466</v>
      </c>
      <c r="D295" s="182" t="s">
        <v>478</v>
      </c>
      <c r="E295" s="190" t="s">
        <v>1060</v>
      </c>
      <c r="F295" s="190" t="s">
        <v>1060</v>
      </c>
    </row>
    <row r="296" spans="2:6">
      <c r="B296" s="183">
        <v>380</v>
      </c>
      <c r="D296" s="185" t="s">
        <v>415</v>
      </c>
      <c r="E296" s="185" t="s">
        <v>1061</v>
      </c>
      <c r="F296" s="185" t="s">
        <v>1061</v>
      </c>
    </row>
    <row r="297" spans="2:6">
      <c r="B297" s="183">
        <v>381</v>
      </c>
      <c r="D297" s="185" t="s">
        <v>416</v>
      </c>
      <c r="E297" s="185" t="s">
        <v>1062</v>
      </c>
      <c r="F297" s="185" t="s">
        <v>1062</v>
      </c>
    </row>
    <row r="298" spans="2:6">
      <c r="B298" s="183">
        <v>382</v>
      </c>
      <c r="C298" s="184" t="s">
        <v>484</v>
      </c>
      <c r="D298" s="185" t="s">
        <v>485</v>
      </c>
      <c r="E298" s="185" t="s">
        <v>1063</v>
      </c>
      <c r="F298" s="185" t="s">
        <v>1063</v>
      </c>
    </row>
    <row r="299" spans="2:6">
      <c r="B299" s="183">
        <v>383</v>
      </c>
      <c r="D299" s="185" t="s">
        <v>146</v>
      </c>
      <c r="E299" s="185" t="s">
        <v>1064</v>
      </c>
      <c r="F299" s="185" t="s">
        <v>1064</v>
      </c>
    </row>
    <row r="300" spans="2:6">
      <c r="B300" s="183">
        <v>384</v>
      </c>
      <c r="D300" s="185" t="s">
        <v>387</v>
      </c>
      <c r="E300" s="185" t="s">
        <v>1065</v>
      </c>
      <c r="F300" s="185" t="s">
        <v>1065</v>
      </c>
    </row>
    <row r="301" spans="2:6">
      <c r="B301" s="183">
        <v>385</v>
      </c>
      <c r="D301" s="185" t="s">
        <v>147</v>
      </c>
      <c r="E301" s="185" t="s">
        <v>1066</v>
      </c>
      <c r="F301" s="185" t="s">
        <v>1066</v>
      </c>
    </row>
    <row r="302" spans="2:6">
      <c r="B302" s="183">
        <v>386</v>
      </c>
      <c r="D302" s="185" t="s">
        <v>148</v>
      </c>
      <c r="E302" s="185" t="s">
        <v>1067</v>
      </c>
      <c r="F302" s="185" t="s">
        <v>1067</v>
      </c>
    </row>
    <row r="303" spans="2:6">
      <c r="B303" s="183">
        <v>387</v>
      </c>
      <c r="D303" s="185" t="s">
        <v>149</v>
      </c>
      <c r="E303" s="185" t="s">
        <v>1068</v>
      </c>
      <c r="F303" s="185" t="s">
        <v>1068</v>
      </c>
    </row>
    <row r="304" spans="2:6">
      <c r="B304" s="183">
        <v>388</v>
      </c>
      <c r="D304" s="185" t="s">
        <v>473</v>
      </c>
      <c r="E304" s="185" t="s">
        <v>1069</v>
      </c>
      <c r="F304" s="185" t="s">
        <v>1069</v>
      </c>
    </row>
    <row r="305" spans="2:6" ht="24">
      <c r="B305" s="183">
        <v>389</v>
      </c>
      <c r="D305" s="185" t="s">
        <v>150</v>
      </c>
      <c r="E305" s="185" t="s">
        <v>1070</v>
      </c>
      <c r="F305" s="185" t="s">
        <v>1070</v>
      </c>
    </row>
    <row r="306" spans="2:6">
      <c r="B306" s="183">
        <v>390</v>
      </c>
      <c r="D306" s="185" t="s">
        <v>618</v>
      </c>
      <c r="E306" s="185" t="s">
        <v>1071</v>
      </c>
      <c r="F306" s="185" t="s">
        <v>1071</v>
      </c>
    </row>
    <row r="307" spans="2:6" ht="24">
      <c r="B307" s="183">
        <v>391</v>
      </c>
      <c r="D307" s="185" t="s">
        <v>417</v>
      </c>
      <c r="E307" s="185" t="s">
        <v>1072</v>
      </c>
      <c r="F307" s="185" t="s">
        <v>1072</v>
      </c>
    </row>
    <row r="308" spans="2:6">
      <c r="B308" s="183">
        <v>392</v>
      </c>
      <c r="D308" s="185" t="s">
        <v>418</v>
      </c>
      <c r="E308" s="185" t="s">
        <v>1073</v>
      </c>
      <c r="F308" s="185" t="s">
        <v>1073</v>
      </c>
    </row>
    <row r="309" spans="2:6">
      <c r="B309" s="183">
        <v>393</v>
      </c>
      <c r="D309" s="185" t="s">
        <v>388</v>
      </c>
      <c r="E309" s="185" t="s">
        <v>1074</v>
      </c>
      <c r="F309" s="185" t="s">
        <v>1074</v>
      </c>
    </row>
    <row r="310" spans="2:6">
      <c r="B310" s="183">
        <v>394</v>
      </c>
      <c r="D310" s="185" t="s">
        <v>151</v>
      </c>
      <c r="E310" s="185" t="s">
        <v>1075</v>
      </c>
      <c r="F310" s="185" t="s">
        <v>1075</v>
      </c>
    </row>
    <row r="311" spans="2:6">
      <c r="B311" s="183">
        <v>395</v>
      </c>
      <c r="D311" s="185" t="s">
        <v>389</v>
      </c>
      <c r="E311" s="185" t="s">
        <v>1076</v>
      </c>
      <c r="F311" s="185" t="s">
        <v>1076</v>
      </c>
    </row>
    <row r="312" spans="2:6">
      <c r="B312" s="183">
        <v>396</v>
      </c>
      <c r="D312" s="185" t="s">
        <v>390</v>
      </c>
      <c r="E312" s="185" t="s">
        <v>1077</v>
      </c>
      <c r="F312" s="185" t="s">
        <v>1077</v>
      </c>
    </row>
    <row r="313" spans="2:6">
      <c r="B313" s="183">
        <v>397</v>
      </c>
      <c r="D313" s="185" t="s">
        <v>152</v>
      </c>
      <c r="E313" s="185" t="s">
        <v>1078</v>
      </c>
      <c r="F313" s="185" t="s">
        <v>1078</v>
      </c>
    </row>
    <row r="314" spans="2:6">
      <c r="B314" s="183">
        <v>398</v>
      </c>
      <c r="D314" s="185" t="s">
        <v>153</v>
      </c>
      <c r="E314" s="185" t="s">
        <v>1079</v>
      </c>
      <c r="F314" s="185" t="s">
        <v>1079</v>
      </c>
    </row>
    <row r="315" spans="2:6">
      <c r="B315" s="183">
        <v>399</v>
      </c>
      <c r="D315" s="185" t="s">
        <v>391</v>
      </c>
      <c r="E315" s="185" t="s">
        <v>1080</v>
      </c>
      <c r="F315" s="185" t="s">
        <v>1080</v>
      </c>
    </row>
    <row r="316" spans="2:6">
      <c r="B316" s="183">
        <v>400</v>
      </c>
      <c r="D316" s="185" t="s">
        <v>154</v>
      </c>
      <c r="E316" s="185" t="s">
        <v>1081</v>
      </c>
      <c r="F316" s="185" t="s">
        <v>1081</v>
      </c>
    </row>
    <row r="317" spans="2:6">
      <c r="B317" s="183">
        <v>401</v>
      </c>
      <c r="C317" s="184" t="s">
        <v>432</v>
      </c>
      <c r="D317" s="185" t="s">
        <v>440</v>
      </c>
      <c r="E317" s="185" t="s">
        <v>1082</v>
      </c>
      <c r="F317" s="185" t="s">
        <v>1082</v>
      </c>
    </row>
    <row r="318" spans="2:6">
      <c r="B318" s="183">
        <v>402</v>
      </c>
      <c r="C318" s="184" t="s">
        <v>466</v>
      </c>
      <c r="D318" s="182" t="s">
        <v>465</v>
      </c>
      <c r="E318" s="190" t="s">
        <v>1083</v>
      </c>
      <c r="F318" s="190" t="s">
        <v>1083</v>
      </c>
    </row>
    <row r="319" spans="2:6">
      <c r="B319" s="183">
        <v>403</v>
      </c>
      <c r="D319" s="185" t="s">
        <v>155</v>
      </c>
      <c r="E319" s="185" t="s">
        <v>1084</v>
      </c>
      <c r="F319" s="185" t="s">
        <v>1084</v>
      </c>
    </row>
    <row r="320" spans="2:6">
      <c r="B320" s="183">
        <v>404</v>
      </c>
      <c r="D320" s="185" t="s">
        <v>156</v>
      </c>
      <c r="E320" s="185" t="s">
        <v>1085</v>
      </c>
      <c r="F320" s="185" t="s">
        <v>1085</v>
      </c>
    </row>
    <row r="321" spans="1:6">
      <c r="B321" s="183">
        <v>405</v>
      </c>
      <c r="D321" s="185" t="s">
        <v>157</v>
      </c>
      <c r="E321" s="185" t="s">
        <v>1086</v>
      </c>
      <c r="F321" s="185" t="s">
        <v>1086</v>
      </c>
    </row>
    <row r="322" spans="1:6">
      <c r="B322" s="183">
        <v>406</v>
      </c>
      <c r="D322" s="185" t="s">
        <v>158</v>
      </c>
      <c r="E322" s="185" t="s">
        <v>1087</v>
      </c>
      <c r="F322" s="185" t="s">
        <v>1087</v>
      </c>
    </row>
    <row r="323" spans="1:6">
      <c r="B323" s="183">
        <v>407</v>
      </c>
      <c r="C323" s="184" t="s">
        <v>466</v>
      </c>
      <c r="D323" s="182" t="s">
        <v>462</v>
      </c>
      <c r="E323" s="190" t="s">
        <v>1088</v>
      </c>
      <c r="F323" s="190" t="s">
        <v>1088</v>
      </c>
    </row>
    <row r="324" spans="1:6">
      <c r="B324" s="183">
        <v>408</v>
      </c>
      <c r="D324" s="185" t="s">
        <v>159</v>
      </c>
      <c r="E324" s="185" t="s">
        <v>1089</v>
      </c>
      <c r="F324" s="185" t="s">
        <v>1089</v>
      </c>
    </row>
    <row r="325" spans="1:6">
      <c r="B325" s="183">
        <v>409</v>
      </c>
      <c r="C325" s="184" t="s">
        <v>466</v>
      </c>
      <c r="D325" s="185" t="s">
        <v>460</v>
      </c>
      <c r="E325" s="190" t="s">
        <v>1090</v>
      </c>
      <c r="F325" s="190" t="s">
        <v>1090</v>
      </c>
    </row>
    <row r="326" spans="1:6">
      <c r="B326" s="183">
        <v>410</v>
      </c>
      <c r="D326" s="185" t="s">
        <v>160</v>
      </c>
      <c r="E326" s="185" t="s">
        <v>1091</v>
      </c>
      <c r="F326" s="185" t="s">
        <v>1091</v>
      </c>
    </row>
    <row r="327" spans="1:6" ht="36">
      <c r="B327" s="183">
        <v>411</v>
      </c>
      <c r="D327" s="185" t="s">
        <v>161</v>
      </c>
      <c r="E327" s="185" t="s">
        <v>1092</v>
      </c>
      <c r="F327" s="185" t="s">
        <v>1092</v>
      </c>
    </row>
    <row r="328" spans="1:6">
      <c r="B328" s="183">
        <v>412</v>
      </c>
      <c r="D328" s="185" t="s">
        <v>162</v>
      </c>
      <c r="E328" s="185" t="s">
        <v>1093</v>
      </c>
      <c r="F328" s="185" t="s">
        <v>1093</v>
      </c>
    </row>
    <row r="329" spans="1:6">
      <c r="B329" s="183">
        <v>413</v>
      </c>
      <c r="D329" s="185" t="s">
        <v>506</v>
      </c>
      <c r="E329" s="185" t="s">
        <v>1094</v>
      </c>
      <c r="F329" s="185" t="s">
        <v>1094</v>
      </c>
    </row>
    <row r="330" spans="1:6" ht="24">
      <c r="B330" s="183">
        <v>414</v>
      </c>
      <c r="D330" s="185" t="s">
        <v>163</v>
      </c>
      <c r="E330" s="185" t="s">
        <v>1095</v>
      </c>
      <c r="F330" s="185" t="s">
        <v>1095</v>
      </c>
    </row>
    <row r="331" spans="1:6">
      <c r="B331" s="183">
        <v>415</v>
      </c>
      <c r="D331" s="185" t="s">
        <v>509</v>
      </c>
      <c r="E331" s="185" t="s">
        <v>1096</v>
      </c>
      <c r="F331" s="185" t="s">
        <v>1096</v>
      </c>
    </row>
    <row r="332" spans="1:6">
      <c r="B332" s="183">
        <v>416</v>
      </c>
      <c r="D332" s="185" t="s">
        <v>505</v>
      </c>
      <c r="E332" s="185" t="s">
        <v>1097</v>
      </c>
      <c r="F332" s="185" t="s">
        <v>1097</v>
      </c>
    </row>
    <row r="333" spans="1:6">
      <c r="A333" s="187"/>
      <c r="B333" s="183">
        <v>417</v>
      </c>
      <c r="C333" s="188" t="s">
        <v>414</v>
      </c>
      <c r="D333" s="186" t="s">
        <v>441</v>
      </c>
      <c r="E333" s="186" t="s">
        <v>1098</v>
      </c>
      <c r="F333" s="186" t="s">
        <v>1098</v>
      </c>
    </row>
    <row r="334" spans="1:6">
      <c r="A334" s="187"/>
      <c r="B334" s="183">
        <v>418</v>
      </c>
      <c r="C334" s="188" t="s">
        <v>414</v>
      </c>
      <c r="D334" s="186" t="s">
        <v>442</v>
      </c>
      <c r="E334" s="186" t="s">
        <v>1099</v>
      </c>
      <c r="F334" s="186" t="s">
        <v>1099</v>
      </c>
    </row>
    <row r="335" spans="1:6">
      <c r="A335" s="187"/>
      <c r="B335" s="183">
        <v>419</v>
      </c>
      <c r="C335" s="188" t="s">
        <v>414</v>
      </c>
      <c r="D335" s="186" t="s">
        <v>443</v>
      </c>
      <c r="E335" s="186" t="s">
        <v>1100</v>
      </c>
      <c r="F335" s="186" t="s">
        <v>1100</v>
      </c>
    </row>
    <row r="336" spans="1:6">
      <c r="B336" s="183">
        <v>420</v>
      </c>
      <c r="D336" s="185" t="s">
        <v>164</v>
      </c>
      <c r="E336" s="185" t="s">
        <v>1098</v>
      </c>
      <c r="F336" s="185" t="s">
        <v>1098</v>
      </c>
    </row>
    <row r="337" spans="2:6">
      <c r="B337" s="183">
        <v>421</v>
      </c>
      <c r="D337" s="185" t="s">
        <v>165</v>
      </c>
      <c r="E337" s="186" t="s">
        <v>1101</v>
      </c>
      <c r="F337" s="186" t="s">
        <v>1101</v>
      </c>
    </row>
    <row r="338" spans="2:6">
      <c r="B338" s="183">
        <v>422</v>
      </c>
      <c r="D338" s="185" t="s">
        <v>166</v>
      </c>
      <c r="E338" s="185" t="s">
        <v>1102</v>
      </c>
      <c r="F338" s="185" t="s">
        <v>1102</v>
      </c>
    </row>
    <row r="339" spans="2:6">
      <c r="B339" s="183">
        <v>423</v>
      </c>
      <c r="D339" s="185" t="s">
        <v>167</v>
      </c>
      <c r="E339" s="185" t="s">
        <v>1103</v>
      </c>
      <c r="F339" s="185" t="s">
        <v>1103</v>
      </c>
    </row>
    <row r="340" spans="2:6">
      <c r="B340" s="183">
        <v>424</v>
      </c>
      <c r="D340" s="185" t="s">
        <v>168</v>
      </c>
      <c r="E340" s="185" t="s">
        <v>1104</v>
      </c>
      <c r="F340" s="185" t="s">
        <v>1104</v>
      </c>
    </row>
    <row r="341" spans="2:6">
      <c r="B341" s="183">
        <v>425</v>
      </c>
      <c r="D341" s="185" t="s">
        <v>169</v>
      </c>
      <c r="E341" s="185" t="s">
        <v>1105</v>
      </c>
      <c r="F341" s="185" t="s">
        <v>1105</v>
      </c>
    </row>
    <row r="342" spans="2:6">
      <c r="B342" s="183">
        <v>426</v>
      </c>
      <c r="D342" s="185" t="s">
        <v>170</v>
      </c>
      <c r="E342" s="185" t="s">
        <v>1106</v>
      </c>
      <c r="F342" s="185" t="s">
        <v>1106</v>
      </c>
    </row>
    <row r="343" spans="2:6">
      <c r="B343" s="183">
        <v>427</v>
      </c>
      <c r="D343" s="185" t="s">
        <v>171</v>
      </c>
      <c r="E343" s="185" t="s">
        <v>1107</v>
      </c>
      <c r="F343" s="185" t="s">
        <v>1107</v>
      </c>
    </row>
    <row r="344" spans="2:6">
      <c r="B344" s="183">
        <v>428</v>
      </c>
      <c r="D344" s="185" t="s">
        <v>172</v>
      </c>
      <c r="E344" s="185" t="s">
        <v>1108</v>
      </c>
      <c r="F344" s="185" t="s">
        <v>1108</v>
      </c>
    </row>
    <row r="345" spans="2:6">
      <c r="B345" s="183">
        <v>429</v>
      </c>
      <c r="D345" s="185" t="s">
        <v>173</v>
      </c>
      <c r="E345" s="185" t="s">
        <v>1109</v>
      </c>
      <c r="F345" s="185" t="s">
        <v>1109</v>
      </c>
    </row>
    <row r="346" spans="2:6">
      <c r="B346" s="183">
        <v>430</v>
      </c>
      <c r="D346" s="185" t="s">
        <v>174</v>
      </c>
      <c r="E346" s="185" t="s">
        <v>1110</v>
      </c>
      <c r="F346" s="185" t="s">
        <v>1110</v>
      </c>
    </row>
    <row r="347" spans="2:6">
      <c r="B347" s="183">
        <v>431</v>
      </c>
      <c r="D347" s="185" t="s">
        <v>175</v>
      </c>
      <c r="E347" s="185" t="s">
        <v>1111</v>
      </c>
      <c r="F347" s="185" t="s">
        <v>1111</v>
      </c>
    </row>
    <row r="348" spans="2:6">
      <c r="B348" s="183">
        <v>432</v>
      </c>
      <c r="D348" s="185" t="s">
        <v>176</v>
      </c>
      <c r="E348" s="185" t="s">
        <v>1112</v>
      </c>
      <c r="F348" s="185" t="s">
        <v>1112</v>
      </c>
    </row>
    <row r="349" spans="2:6">
      <c r="B349" s="183">
        <v>433</v>
      </c>
      <c r="D349" s="185" t="s">
        <v>177</v>
      </c>
      <c r="E349" s="185" t="s">
        <v>1113</v>
      </c>
      <c r="F349" s="185" t="s">
        <v>1113</v>
      </c>
    </row>
    <row r="350" spans="2:6">
      <c r="B350" s="183">
        <v>434</v>
      </c>
      <c r="D350" s="185" t="s">
        <v>512</v>
      </c>
      <c r="E350" s="185" t="s">
        <v>1114</v>
      </c>
      <c r="F350" s="185" t="s">
        <v>1114</v>
      </c>
    </row>
    <row r="351" spans="2:6">
      <c r="B351" s="183">
        <v>435</v>
      </c>
      <c r="D351" s="185" t="s">
        <v>511</v>
      </c>
      <c r="E351" s="185" t="s">
        <v>1115</v>
      </c>
      <c r="F351" s="185" t="s">
        <v>1115</v>
      </c>
    </row>
    <row r="352" spans="2:6">
      <c r="B352" s="183">
        <v>436</v>
      </c>
      <c r="D352" s="185" t="s">
        <v>178</v>
      </c>
      <c r="E352" s="185" t="s">
        <v>1116</v>
      </c>
      <c r="F352" s="185" t="s">
        <v>1116</v>
      </c>
    </row>
    <row r="353" spans="2:6">
      <c r="B353" s="183">
        <v>437</v>
      </c>
      <c r="D353" s="185" t="s">
        <v>179</v>
      </c>
      <c r="E353" s="185" t="s">
        <v>1117</v>
      </c>
      <c r="F353" s="185" t="s">
        <v>1117</v>
      </c>
    </row>
    <row r="354" spans="2:6">
      <c r="B354" s="183">
        <v>438</v>
      </c>
      <c r="D354" s="185" t="s">
        <v>180</v>
      </c>
      <c r="E354" s="185" t="s">
        <v>1118</v>
      </c>
      <c r="F354" s="185" t="s">
        <v>1118</v>
      </c>
    </row>
    <row r="355" spans="2:6">
      <c r="B355" s="183">
        <v>439</v>
      </c>
      <c r="D355" s="185" t="s">
        <v>181</v>
      </c>
      <c r="E355" s="185" t="s">
        <v>1119</v>
      </c>
      <c r="F355" s="185" t="s">
        <v>1119</v>
      </c>
    </row>
    <row r="356" spans="2:6">
      <c r="B356" s="183">
        <v>440</v>
      </c>
      <c r="D356" s="185" t="s">
        <v>182</v>
      </c>
      <c r="E356" s="185" t="s">
        <v>1120</v>
      </c>
      <c r="F356" s="185" t="s">
        <v>1120</v>
      </c>
    </row>
    <row r="357" spans="2:6">
      <c r="B357" s="183">
        <v>441</v>
      </c>
      <c r="D357" s="185" t="s">
        <v>183</v>
      </c>
      <c r="E357" s="185" t="s">
        <v>1121</v>
      </c>
      <c r="F357" s="185" t="s">
        <v>1121</v>
      </c>
    </row>
    <row r="358" spans="2:6">
      <c r="B358" s="183">
        <v>442</v>
      </c>
      <c r="D358" s="185" t="s">
        <v>513</v>
      </c>
      <c r="E358" s="185" t="s">
        <v>1122</v>
      </c>
      <c r="F358" s="185" t="s">
        <v>1122</v>
      </c>
    </row>
    <row r="359" spans="2:6">
      <c r="B359" s="183">
        <v>443</v>
      </c>
      <c r="D359" s="185" t="s">
        <v>499</v>
      </c>
      <c r="E359" s="185" t="s">
        <v>1123</v>
      </c>
      <c r="F359" s="185" t="s">
        <v>1123</v>
      </c>
    </row>
    <row r="360" spans="2:6">
      <c r="B360" s="183">
        <v>444</v>
      </c>
      <c r="D360" s="185" t="s">
        <v>392</v>
      </c>
      <c r="E360" s="185" t="s">
        <v>392</v>
      </c>
      <c r="F360" s="185" t="s">
        <v>392</v>
      </c>
    </row>
    <row r="361" spans="2:6" ht="24">
      <c r="B361" s="183">
        <v>445</v>
      </c>
      <c r="C361" s="184" t="s">
        <v>543</v>
      </c>
      <c r="D361" s="185" t="s">
        <v>571</v>
      </c>
      <c r="E361" s="185" t="s">
        <v>1124</v>
      </c>
      <c r="F361" s="185" t="s">
        <v>1124</v>
      </c>
    </row>
    <row r="362" spans="2:6">
      <c r="B362" s="183">
        <v>446</v>
      </c>
      <c r="D362" s="185" t="s">
        <v>599</v>
      </c>
      <c r="E362" s="185" t="s">
        <v>1125</v>
      </c>
      <c r="F362" s="185" t="s">
        <v>1125</v>
      </c>
    </row>
    <row r="363" spans="2:6">
      <c r="B363" s="183">
        <v>447</v>
      </c>
      <c r="C363" s="184" t="s">
        <v>466</v>
      </c>
      <c r="D363" s="185" t="s">
        <v>471</v>
      </c>
      <c r="E363" s="185" t="s">
        <v>1126</v>
      </c>
      <c r="F363" s="185" t="s">
        <v>1126</v>
      </c>
    </row>
    <row r="364" spans="2:6">
      <c r="B364" s="183">
        <v>448</v>
      </c>
      <c r="D364" s="185" t="s">
        <v>184</v>
      </c>
      <c r="E364" s="185" t="s">
        <v>1127</v>
      </c>
      <c r="F364" s="185" t="s">
        <v>1127</v>
      </c>
    </row>
    <row r="365" spans="2:6" ht="24">
      <c r="B365" s="183">
        <v>449</v>
      </c>
      <c r="D365" s="185" t="s">
        <v>185</v>
      </c>
      <c r="E365" s="185" t="s">
        <v>1128</v>
      </c>
      <c r="F365" s="185" t="s">
        <v>1128</v>
      </c>
    </row>
    <row r="366" spans="2:6">
      <c r="B366" s="183">
        <v>450</v>
      </c>
      <c r="D366" s="185" t="s">
        <v>186</v>
      </c>
      <c r="E366" s="185" t="s">
        <v>1129</v>
      </c>
      <c r="F366" s="185" t="s">
        <v>1129</v>
      </c>
    </row>
    <row r="367" spans="2:6">
      <c r="B367" s="183">
        <v>451</v>
      </c>
      <c r="D367" s="185" t="s">
        <v>605</v>
      </c>
      <c r="E367" s="185" t="s">
        <v>1130</v>
      </c>
      <c r="F367" s="185" t="s">
        <v>1130</v>
      </c>
    </row>
    <row r="368" spans="2:6" ht="24">
      <c r="B368" s="183">
        <v>452</v>
      </c>
      <c r="D368" s="185" t="s">
        <v>187</v>
      </c>
      <c r="E368" s="185" t="s">
        <v>1131</v>
      </c>
      <c r="F368" s="185" t="s">
        <v>1131</v>
      </c>
    </row>
    <row r="369" spans="2:6">
      <c r="B369" s="183">
        <v>453</v>
      </c>
      <c r="D369" s="186" t="s">
        <v>444</v>
      </c>
      <c r="E369" s="185" t="s">
        <v>910</v>
      </c>
      <c r="F369" s="185" t="s">
        <v>910</v>
      </c>
    </row>
    <row r="370" spans="2:6">
      <c r="B370" s="183">
        <v>454</v>
      </c>
      <c r="D370" s="185" t="s">
        <v>393</v>
      </c>
      <c r="E370" s="185" t="s">
        <v>1132</v>
      </c>
      <c r="F370" s="185" t="s">
        <v>1132</v>
      </c>
    </row>
    <row r="371" spans="2:6">
      <c r="B371" s="183">
        <v>455</v>
      </c>
      <c r="D371" s="185" t="s">
        <v>188</v>
      </c>
      <c r="E371" s="185" t="s">
        <v>1133</v>
      </c>
      <c r="F371" s="185" t="s">
        <v>1133</v>
      </c>
    </row>
    <row r="372" spans="2:6">
      <c r="B372" s="183">
        <v>456</v>
      </c>
      <c r="D372" s="185" t="s">
        <v>394</v>
      </c>
      <c r="E372" s="185" t="s">
        <v>1134</v>
      </c>
      <c r="F372" s="185" t="s">
        <v>1134</v>
      </c>
    </row>
    <row r="373" spans="2:6">
      <c r="B373" s="183">
        <v>457</v>
      </c>
      <c r="D373" s="185" t="s">
        <v>189</v>
      </c>
      <c r="E373" s="185" t="s">
        <v>1135</v>
      </c>
      <c r="F373" s="185" t="s">
        <v>1135</v>
      </c>
    </row>
    <row r="374" spans="2:6">
      <c r="B374" s="183">
        <v>458</v>
      </c>
      <c r="D374" s="185" t="s">
        <v>190</v>
      </c>
      <c r="E374" s="185" t="s">
        <v>1136</v>
      </c>
      <c r="F374" s="185" t="s">
        <v>1136</v>
      </c>
    </row>
    <row r="375" spans="2:6">
      <c r="B375" s="183">
        <v>459</v>
      </c>
      <c r="C375" s="184" t="s">
        <v>543</v>
      </c>
      <c r="D375" s="185" t="s">
        <v>563</v>
      </c>
      <c r="E375" s="185" t="s">
        <v>1137</v>
      </c>
      <c r="F375" s="185" t="s">
        <v>1137</v>
      </c>
    </row>
    <row r="376" spans="2:6">
      <c r="B376" s="183">
        <v>460</v>
      </c>
      <c r="D376" s="185" t="s">
        <v>191</v>
      </c>
      <c r="E376" s="185" t="s">
        <v>1137</v>
      </c>
      <c r="F376" s="185" t="s">
        <v>1137</v>
      </c>
    </row>
    <row r="377" spans="2:6">
      <c r="B377" s="183">
        <v>461</v>
      </c>
      <c r="D377" s="185" t="s">
        <v>192</v>
      </c>
      <c r="E377" s="185" t="s">
        <v>1138</v>
      </c>
      <c r="F377" s="185" t="s">
        <v>1138</v>
      </c>
    </row>
    <row r="378" spans="2:6">
      <c r="B378" s="183">
        <v>462</v>
      </c>
      <c r="D378" s="185" t="s">
        <v>622</v>
      </c>
      <c r="E378" s="185" t="s">
        <v>1139</v>
      </c>
      <c r="F378" s="185" t="s">
        <v>1139</v>
      </c>
    </row>
    <row r="379" spans="2:6">
      <c r="B379" s="183">
        <v>463</v>
      </c>
      <c r="D379" s="185" t="s">
        <v>193</v>
      </c>
      <c r="E379" s="185" t="s">
        <v>1140</v>
      </c>
      <c r="F379" s="185" t="s">
        <v>1140</v>
      </c>
    </row>
    <row r="380" spans="2:6">
      <c r="B380" s="183">
        <v>464</v>
      </c>
      <c r="D380" s="185" t="s">
        <v>194</v>
      </c>
      <c r="F380" s="185"/>
    </row>
    <row r="381" spans="2:6">
      <c r="B381" s="183">
        <v>465</v>
      </c>
      <c r="D381" s="185" t="s">
        <v>395</v>
      </c>
      <c r="E381" s="185" t="s">
        <v>1141</v>
      </c>
      <c r="F381" s="185" t="s">
        <v>1141</v>
      </c>
    </row>
    <row r="382" spans="2:6" ht="24">
      <c r="B382" s="183">
        <v>466</v>
      </c>
      <c r="D382" s="185" t="s">
        <v>614</v>
      </c>
      <c r="E382" s="185" t="s">
        <v>1142</v>
      </c>
      <c r="F382" s="185" t="s">
        <v>1142</v>
      </c>
    </row>
    <row r="383" spans="2:6" ht="24">
      <c r="B383" s="183">
        <v>467</v>
      </c>
      <c r="D383" s="185" t="s">
        <v>195</v>
      </c>
      <c r="E383" s="185" t="s">
        <v>1143</v>
      </c>
      <c r="F383" s="185" t="s">
        <v>1143</v>
      </c>
    </row>
    <row r="384" spans="2:6">
      <c r="B384" s="183">
        <v>468</v>
      </c>
      <c r="D384" s="185" t="s">
        <v>196</v>
      </c>
      <c r="E384" s="185" t="s">
        <v>1144</v>
      </c>
      <c r="F384" s="185" t="s">
        <v>1144</v>
      </c>
    </row>
    <row r="385" spans="2:6">
      <c r="B385" s="183">
        <v>469</v>
      </c>
      <c r="D385" s="185" t="s">
        <v>197</v>
      </c>
      <c r="E385" s="185" t="s">
        <v>1145</v>
      </c>
      <c r="F385" s="185" t="s">
        <v>1145</v>
      </c>
    </row>
    <row r="386" spans="2:6">
      <c r="B386" s="183">
        <v>470</v>
      </c>
      <c r="C386" s="184" t="s">
        <v>543</v>
      </c>
      <c r="D386" s="185" t="s">
        <v>556</v>
      </c>
      <c r="E386" s="185" t="s">
        <v>1146</v>
      </c>
      <c r="F386" s="185" t="s">
        <v>1146</v>
      </c>
    </row>
    <row r="387" spans="2:6">
      <c r="B387" s="183">
        <v>471</v>
      </c>
      <c r="C387" s="184" t="s">
        <v>543</v>
      </c>
      <c r="D387" s="185" t="s">
        <v>560</v>
      </c>
      <c r="E387" s="185" t="s">
        <v>1147</v>
      </c>
      <c r="F387" s="185" t="s">
        <v>1147</v>
      </c>
    </row>
    <row r="388" spans="2:6">
      <c r="B388" s="183">
        <v>472</v>
      </c>
      <c r="D388" s="185" t="s">
        <v>198</v>
      </c>
      <c r="E388" s="185" t="s">
        <v>1148</v>
      </c>
      <c r="F388" s="185" t="s">
        <v>1148</v>
      </c>
    </row>
    <row r="389" spans="2:6">
      <c r="B389" s="183">
        <v>473</v>
      </c>
      <c r="C389" s="184" t="s">
        <v>543</v>
      </c>
      <c r="D389" s="185" t="s">
        <v>552</v>
      </c>
      <c r="E389" s="185" t="s">
        <v>1149</v>
      </c>
      <c r="F389" s="185" t="s">
        <v>1149</v>
      </c>
    </row>
    <row r="390" spans="2:6" ht="24">
      <c r="B390" s="183">
        <v>474</v>
      </c>
      <c r="C390" s="184" t="s">
        <v>543</v>
      </c>
      <c r="D390" s="185" t="s">
        <v>554</v>
      </c>
      <c r="E390" s="185" t="s">
        <v>1150</v>
      </c>
      <c r="F390" s="185" t="s">
        <v>1150</v>
      </c>
    </row>
    <row r="391" spans="2:6">
      <c r="B391" s="183">
        <v>475</v>
      </c>
      <c r="C391" s="184" t="s">
        <v>543</v>
      </c>
      <c r="D391" s="185" t="s">
        <v>555</v>
      </c>
      <c r="E391" s="185" t="s">
        <v>1151</v>
      </c>
      <c r="F391" s="185" t="s">
        <v>1151</v>
      </c>
    </row>
    <row r="392" spans="2:6">
      <c r="B392" s="183">
        <v>476</v>
      </c>
      <c r="D392" s="185" t="s">
        <v>199</v>
      </c>
      <c r="E392" s="185" t="s">
        <v>1152</v>
      </c>
      <c r="F392" s="185" t="s">
        <v>1152</v>
      </c>
    </row>
    <row r="393" spans="2:6">
      <c r="B393" s="183">
        <v>477</v>
      </c>
      <c r="D393" s="185" t="s">
        <v>200</v>
      </c>
      <c r="E393" s="185" t="s">
        <v>1153</v>
      </c>
      <c r="F393" s="185" t="s">
        <v>1153</v>
      </c>
    </row>
    <row r="394" spans="2:6" ht="36">
      <c r="B394" s="183">
        <v>478</v>
      </c>
      <c r="C394" s="184" t="s">
        <v>543</v>
      </c>
      <c r="D394" s="185" t="s">
        <v>573</v>
      </c>
      <c r="E394" s="185" t="s">
        <v>1154</v>
      </c>
      <c r="F394" s="185" t="s">
        <v>1154</v>
      </c>
    </row>
    <row r="395" spans="2:6">
      <c r="B395" s="183">
        <v>479</v>
      </c>
      <c r="D395" s="185" t="s">
        <v>201</v>
      </c>
      <c r="E395" s="185" t="s">
        <v>1155</v>
      </c>
      <c r="F395" s="185" t="s">
        <v>1155</v>
      </c>
    </row>
    <row r="396" spans="2:6">
      <c r="B396" s="183">
        <v>480</v>
      </c>
      <c r="D396" s="185" t="s">
        <v>626</v>
      </c>
      <c r="E396" s="185" t="s">
        <v>1156</v>
      </c>
      <c r="F396" s="185" t="s">
        <v>1156</v>
      </c>
    </row>
    <row r="397" spans="2:6">
      <c r="B397" s="183">
        <v>481</v>
      </c>
      <c r="D397" s="185" t="s">
        <v>202</v>
      </c>
      <c r="E397" s="185" t="s">
        <v>1157</v>
      </c>
      <c r="F397" s="185" t="s">
        <v>1157</v>
      </c>
    </row>
    <row r="398" spans="2:6">
      <c r="B398" s="183">
        <v>482</v>
      </c>
      <c r="D398" s="185" t="s">
        <v>203</v>
      </c>
      <c r="E398" s="185" t="s">
        <v>1158</v>
      </c>
      <c r="F398" s="185" t="s">
        <v>1158</v>
      </c>
    </row>
    <row r="399" spans="2:6">
      <c r="B399" s="183">
        <v>483</v>
      </c>
      <c r="D399" s="185" t="s">
        <v>204</v>
      </c>
      <c r="E399" s="185" t="s">
        <v>1159</v>
      </c>
      <c r="F399" s="185" t="s">
        <v>1159</v>
      </c>
    </row>
    <row r="400" spans="2:6">
      <c r="B400" s="183">
        <v>484</v>
      </c>
      <c r="D400" s="185" t="s">
        <v>205</v>
      </c>
      <c r="E400" s="185" t="s">
        <v>1160</v>
      </c>
      <c r="F400" s="185" t="s">
        <v>1160</v>
      </c>
    </row>
    <row r="401" spans="2:6" ht="24">
      <c r="B401" s="183">
        <v>485</v>
      </c>
      <c r="D401" s="185" t="s">
        <v>206</v>
      </c>
      <c r="E401" s="185" t="s">
        <v>1161</v>
      </c>
      <c r="F401" s="185" t="s">
        <v>1161</v>
      </c>
    </row>
    <row r="402" spans="2:6">
      <c r="B402" s="183">
        <v>486</v>
      </c>
      <c r="D402" s="185" t="s">
        <v>625</v>
      </c>
      <c r="E402" s="185" t="s">
        <v>1162</v>
      </c>
      <c r="F402" s="185" t="s">
        <v>1162</v>
      </c>
    </row>
    <row r="403" spans="2:6">
      <c r="B403" s="183">
        <v>487</v>
      </c>
      <c r="D403" s="185" t="s">
        <v>623</v>
      </c>
      <c r="E403" s="185" t="s">
        <v>1163</v>
      </c>
      <c r="F403" s="185" t="s">
        <v>1163</v>
      </c>
    </row>
    <row r="404" spans="2:6">
      <c r="B404" s="183">
        <v>488</v>
      </c>
      <c r="D404" s="185" t="s">
        <v>624</v>
      </c>
      <c r="E404" s="185" t="s">
        <v>1164</v>
      </c>
      <c r="F404" s="185" t="s">
        <v>1164</v>
      </c>
    </row>
    <row r="405" spans="2:6">
      <c r="B405" s="183">
        <v>489</v>
      </c>
      <c r="D405" s="185" t="s">
        <v>207</v>
      </c>
      <c r="E405" s="185" t="s">
        <v>1165</v>
      </c>
      <c r="F405" s="185" t="s">
        <v>1165</v>
      </c>
    </row>
    <row r="406" spans="2:6">
      <c r="B406" s="183">
        <v>490</v>
      </c>
      <c r="C406" s="184" t="s">
        <v>466</v>
      </c>
      <c r="D406" s="185" t="s">
        <v>470</v>
      </c>
      <c r="E406" s="185" t="s">
        <v>1166</v>
      </c>
      <c r="F406" s="185" t="s">
        <v>1166</v>
      </c>
    </row>
    <row r="407" spans="2:6">
      <c r="B407" s="183">
        <v>491</v>
      </c>
      <c r="D407" s="185" t="s">
        <v>208</v>
      </c>
      <c r="E407" s="185" t="s">
        <v>1167</v>
      </c>
      <c r="F407" s="185" t="s">
        <v>1167</v>
      </c>
    </row>
    <row r="408" spans="2:6">
      <c r="B408" s="183">
        <v>492</v>
      </c>
      <c r="C408" s="184" t="s">
        <v>484</v>
      </c>
      <c r="D408" s="185" t="s">
        <v>482</v>
      </c>
      <c r="E408" s="185" t="s">
        <v>1168</v>
      </c>
      <c r="F408" s="185" t="s">
        <v>1168</v>
      </c>
    </row>
    <row r="409" spans="2:6">
      <c r="B409" s="183">
        <v>493</v>
      </c>
      <c r="C409" s="184" t="s">
        <v>484</v>
      </c>
      <c r="D409" s="185" t="s">
        <v>481</v>
      </c>
      <c r="E409" s="185" t="s">
        <v>1169</v>
      </c>
      <c r="F409" s="185" t="s">
        <v>1169</v>
      </c>
    </row>
    <row r="410" spans="2:6">
      <c r="B410" s="183">
        <v>494</v>
      </c>
      <c r="D410" s="185" t="s">
        <v>209</v>
      </c>
      <c r="E410" s="185" t="s">
        <v>1170</v>
      </c>
      <c r="F410" s="185" t="s">
        <v>1170</v>
      </c>
    </row>
    <row r="411" spans="2:6">
      <c r="B411" s="183">
        <v>495</v>
      </c>
      <c r="D411" s="185" t="s">
        <v>210</v>
      </c>
      <c r="E411" s="185" t="s">
        <v>1171</v>
      </c>
      <c r="F411" s="185" t="s">
        <v>1171</v>
      </c>
    </row>
    <row r="412" spans="2:6">
      <c r="B412" s="183">
        <v>496</v>
      </c>
      <c r="C412" s="184" t="s">
        <v>543</v>
      </c>
      <c r="D412" s="185" t="s">
        <v>652</v>
      </c>
      <c r="E412" s="185" t="s">
        <v>1172</v>
      </c>
      <c r="F412" s="185" t="s">
        <v>1172</v>
      </c>
    </row>
    <row r="413" spans="2:6">
      <c r="B413" s="183">
        <v>497</v>
      </c>
      <c r="D413" s="185" t="s">
        <v>211</v>
      </c>
      <c r="E413" s="185" t="s">
        <v>1173</v>
      </c>
      <c r="F413" s="185" t="s">
        <v>1173</v>
      </c>
    </row>
    <row r="414" spans="2:6" ht="36">
      <c r="B414" s="183">
        <v>498</v>
      </c>
      <c r="D414" s="185" t="s">
        <v>212</v>
      </c>
      <c r="E414" s="185" t="s">
        <v>1174</v>
      </c>
      <c r="F414" s="185" t="s">
        <v>1174</v>
      </c>
    </row>
    <row r="415" spans="2:6">
      <c r="B415" s="183">
        <v>499</v>
      </c>
      <c r="D415" s="185" t="s">
        <v>213</v>
      </c>
      <c r="E415" s="185" t="s">
        <v>1175</v>
      </c>
      <c r="F415" s="185" t="s">
        <v>1175</v>
      </c>
    </row>
    <row r="416" spans="2:6" ht="24">
      <c r="B416" s="183">
        <v>500</v>
      </c>
      <c r="D416" s="185" t="s">
        <v>214</v>
      </c>
      <c r="E416" s="185" t="s">
        <v>1176</v>
      </c>
      <c r="F416" s="185" t="s">
        <v>1176</v>
      </c>
    </row>
    <row r="417" spans="2:6" ht="24">
      <c r="B417" s="183">
        <v>501</v>
      </c>
      <c r="D417" s="185" t="s">
        <v>215</v>
      </c>
      <c r="E417" s="185" t="s">
        <v>1177</v>
      </c>
      <c r="F417" s="185" t="s">
        <v>1177</v>
      </c>
    </row>
    <row r="418" spans="2:6" ht="24">
      <c r="B418" s="183">
        <v>502</v>
      </c>
      <c r="D418" s="185" t="s">
        <v>216</v>
      </c>
      <c r="E418" s="185" t="s">
        <v>1178</v>
      </c>
      <c r="F418" s="185" t="s">
        <v>1178</v>
      </c>
    </row>
    <row r="419" spans="2:6" ht="24">
      <c r="B419" s="183">
        <v>503</v>
      </c>
      <c r="D419" s="185" t="s">
        <v>217</v>
      </c>
      <c r="E419" s="185" t="s">
        <v>1179</v>
      </c>
      <c r="F419" s="185" t="s">
        <v>1179</v>
      </c>
    </row>
    <row r="420" spans="2:6" ht="24">
      <c r="B420" s="183">
        <v>504</v>
      </c>
      <c r="D420" s="185" t="s">
        <v>218</v>
      </c>
      <c r="E420" s="185" t="s">
        <v>1180</v>
      </c>
      <c r="F420" s="185" t="s">
        <v>1180</v>
      </c>
    </row>
    <row r="421" spans="2:6" ht="24">
      <c r="B421" s="183">
        <v>505</v>
      </c>
      <c r="D421" s="185" t="s">
        <v>219</v>
      </c>
      <c r="E421" s="185" t="s">
        <v>1181</v>
      </c>
      <c r="F421" s="185" t="s">
        <v>1181</v>
      </c>
    </row>
    <row r="422" spans="2:6" ht="24">
      <c r="B422" s="183">
        <v>506</v>
      </c>
      <c r="D422" s="185" t="s">
        <v>220</v>
      </c>
      <c r="E422" s="185" t="s">
        <v>1182</v>
      </c>
      <c r="F422" s="185" t="s">
        <v>1182</v>
      </c>
    </row>
    <row r="423" spans="2:6" ht="24">
      <c r="B423" s="183">
        <v>507</v>
      </c>
      <c r="D423" s="185" t="s">
        <v>221</v>
      </c>
      <c r="E423" s="185" t="s">
        <v>1183</v>
      </c>
      <c r="F423" s="185" t="s">
        <v>1183</v>
      </c>
    </row>
    <row r="424" spans="2:6" ht="24">
      <c r="B424" s="183">
        <v>508</v>
      </c>
      <c r="D424" s="185" t="s">
        <v>222</v>
      </c>
      <c r="E424" s="185" t="s">
        <v>1184</v>
      </c>
      <c r="F424" s="185" t="s">
        <v>1184</v>
      </c>
    </row>
    <row r="425" spans="2:6" ht="24">
      <c r="B425" s="183">
        <v>509</v>
      </c>
      <c r="D425" s="185" t="s">
        <v>223</v>
      </c>
      <c r="E425" s="185" t="s">
        <v>1185</v>
      </c>
      <c r="F425" s="185" t="s">
        <v>1185</v>
      </c>
    </row>
    <row r="426" spans="2:6" ht="24">
      <c r="B426" s="183">
        <v>510</v>
      </c>
      <c r="D426" s="185" t="s">
        <v>224</v>
      </c>
      <c r="E426" s="185" t="s">
        <v>1186</v>
      </c>
      <c r="F426" s="185" t="s">
        <v>1186</v>
      </c>
    </row>
    <row r="427" spans="2:6" ht="24">
      <c r="B427" s="183">
        <v>511</v>
      </c>
      <c r="D427" s="185" t="s">
        <v>225</v>
      </c>
      <c r="E427" s="185" t="s">
        <v>1187</v>
      </c>
      <c r="F427" s="185" t="s">
        <v>1187</v>
      </c>
    </row>
    <row r="428" spans="2:6" ht="24">
      <c r="B428" s="183">
        <v>512</v>
      </c>
      <c r="D428" s="185" t="s">
        <v>226</v>
      </c>
      <c r="E428" s="185" t="s">
        <v>1188</v>
      </c>
      <c r="F428" s="185" t="s">
        <v>1188</v>
      </c>
    </row>
    <row r="429" spans="2:6" ht="24">
      <c r="B429" s="183">
        <v>513</v>
      </c>
      <c r="D429" s="185" t="s">
        <v>227</v>
      </c>
      <c r="E429" s="185" t="s">
        <v>1189</v>
      </c>
      <c r="F429" s="185" t="s">
        <v>1189</v>
      </c>
    </row>
    <row r="430" spans="2:6" ht="24">
      <c r="B430" s="183">
        <v>514</v>
      </c>
      <c r="D430" s="185" t="s">
        <v>228</v>
      </c>
      <c r="E430" s="185" t="s">
        <v>1190</v>
      </c>
      <c r="F430" s="185" t="s">
        <v>1190</v>
      </c>
    </row>
    <row r="431" spans="2:6" ht="24">
      <c r="B431" s="183">
        <v>515</v>
      </c>
      <c r="D431" s="185" t="s">
        <v>229</v>
      </c>
      <c r="E431" s="185" t="s">
        <v>1191</v>
      </c>
      <c r="F431" s="185" t="s">
        <v>1191</v>
      </c>
    </row>
    <row r="432" spans="2:6" ht="24">
      <c r="B432" s="183">
        <v>516</v>
      </c>
      <c r="D432" s="185" t="s">
        <v>230</v>
      </c>
      <c r="E432" s="185" t="s">
        <v>1192</v>
      </c>
      <c r="F432" s="185" t="s">
        <v>1192</v>
      </c>
    </row>
    <row r="433" spans="1:27" ht="24">
      <c r="B433" s="183">
        <v>517</v>
      </c>
      <c r="D433" s="185" t="s">
        <v>231</v>
      </c>
      <c r="E433" s="185" t="s">
        <v>1193</v>
      </c>
      <c r="F433" s="185" t="s">
        <v>1193</v>
      </c>
    </row>
    <row r="434" spans="1:27" ht="24">
      <c r="B434" s="183">
        <v>518</v>
      </c>
      <c r="D434" s="185" t="s">
        <v>232</v>
      </c>
      <c r="E434" s="185" t="s">
        <v>1194</v>
      </c>
      <c r="F434" s="185" t="s">
        <v>1194</v>
      </c>
    </row>
    <row r="435" spans="1:27" ht="24">
      <c r="B435" s="183">
        <v>519</v>
      </c>
      <c r="D435" s="185" t="s">
        <v>233</v>
      </c>
      <c r="E435" s="185" t="s">
        <v>1195</v>
      </c>
      <c r="F435" s="185" t="s">
        <v>1195</v>
      </c>
    </row>
    <row r="436" spans="1:27" ht="24">
      <c r="B436" s="183">
        <v>520</v>
      </c>
      <c r="D436" s="185" t="s">
        <v>234</v>
      </c>
      <c r="E436" s="185" t="s">
        <v>1196</v>
      </c>
      <c r="F436" s="185" t="s">
        <v>1196</v>
      </c>
    </row>
    <row r="437" spans="1:27" ht="24">
      <c r="B437" s="183">
        <v>521</v>
      </c>
      <c r="D437" s="185" t="s">
        <v>396</v>
      </c>
      <c r="E437" s="185" t="s">
        <v>1197</v>
      </c>
      <c r="F437" s="185" t="s">
        <v>1197</v>
      </c>
    </row>
    <row r="438" spans="1:27" ht="24">
      <c r="B438" s="183">
        <v>522</v>
      </c>
      <c r="D438" s="185" t="s">
        <v>397</v>
      </c>
      <c r="E438" s="185" t="s">
        <v>1197</v>
      </c>
      <c r="F438" s="185" t="s">
        <v>1197</v>
      </c>
    </row>
    <row r="439" spans="1:27" ht="24">
      <c r="B439" s="183">
        <v>523</v>
      </c>
      <c r="D439" s="185" t="s">
        <v>235</v>
      </c>
      <c r="E439" s="185" t="s">
        <v>1198</v>
      </c>
      <c r="F439" s="185" t="s">
        <v>1198</v>
      </c>
    </row>
    <row r="440" spans="1:27" ht="24">
      <c r="B440" s="183">
        <v>524</v>
      </c>
      <c r="D440" s="185" t="s">
        <v>236</v>
      </c>
      <c r="E440" s="185" t="s">
        <v>1199</v>
      </c>
      <c r="F440" s="185" t="s">
        <v>1199</v>
      </c>
    </row>
    <row r="441" spans="1:27" ht="24">
      <c r="B441" s="183">
        <v>525</v>
      </c>
      <c r="D441" s="185" t="s">
        <v>237</v>
      </c>
      <c r="E441" s="185" t="s">
        <v>1200</v>
      </c>
      <c r="F441" s="185" t="s">
        <v>1200</v>
      </c>
    </row>
    <row r="442" spans="1:27" ht="24">
      <c r="B442" s="183">
        <v>526</v>
      </c>
      <c r="D442" s="185" t="s">
        <v>238</v>
      </c>
      <c r="E442" s="185" t="s">
        <v>1201</v>
      </c>
      <c r="F442" s="185" t="s">
        <v>1201</v>
      </c>
    </row>
    <row r="443" spans="1:27" ht="24">
      <c r="B443" s="183">
        <v>527</v>
      </c>
      <c r="D443" s="185" t="s">
        <v>398</v>
      </c>
      <c r="E443" s="185" t="s">
        <v>1202</v>
      </c>
      <c r="F443" s="185" t="s">
        <v>1202</v>
      </c>
    </row>
    <row r="444" spans="1:27" s="186" customFormat="1" ht="24">
      <c r="A444" s="182"/>
      <c r="B444" s="183">
        <v>528</v>
      </c>
      <c r="C444" s="184"/>
      <c r="D444" s="185" t="s">
        <v>399</v>
      </c>
      <c r="E444" s="185" t="s">
        <v>1203</v>
      </c>
      <c r="F444" s="185" t="s">
        <v>1203</v>
      </c>
      <c r="G444" s="182"/>
      <c r="H444" s="182"/>
      <c r="I444" s="182"/>
      <c r="J444" s="182"/>
      <c r="K444" s="182"/>
      <c r="L444" s="182"/>
      <c r="M444" s="182"/>
      <c r="N444" s="182"/>
      <c r="O444" s="182"/>
      <c r="P444" s="182"/>
      <c r="Q444" s="182"/>
      <c r="R444" s="182"/>
      <c r="S444" s="182"/>
      <c r="T444" s="182"/>
      <c r="U444" s="182"/>
      <c r="V444" s="182"/>
      <c r="W444" s="182"/>
      <c r="X444" s="182"/>
      <c r="Y444" s="182"/>
      <c r="Z444" s="182"/>
      <c r="AA444" s="182"/>
    </row>
    <row r="445" spans="1:27" s="186" customFormat="1">
      <c r="A445" s="182"/>
      <c r="B445" s="183">
        <v>529</v>
      </c>
      <c r="C445" s="184"/>
      <c r="D445" s="185" t="s">
        <v>239</v>
      </c>
      <c r="E445" s="185" t="s">
        <v>1204</v>
      </c>
      <c r="F445" s="185" t="s">
        <v>1204</v>
      </c>
      <c r="G445" s="182"/>
      <c r="H445" s="182"/>
      <c r="I445" s="182"/>
      <c r="J445" s="182"/>
      <c r="K445" s="182"/>
      <c r="L445" s="182"/>
      <c r="M445" s="182"/>
      <c r="N445" s="182"/>
      <c r="O445" s="182"/>
      <c r="P445" s="182"/>
      <c r="Q445" s="182"/>
      <c r="R445" s="182"/>
      <c r="S445" s="182"/>
      <c r="T445" s="182"/>
      <c r="U445" s="182"/>
      <c r="V445" s="182"/>
      <c r="W445" s="182"/>
      <c r="X445" s="182"/>
      <c r="Y445" s="182"/>
      <c r="Z445" s="182"/>
      <c r="AA445" s="182"/>
    </row>
    <row r="446" spans="1:27" s="187" customFormat="1" ht="36">
      <c r="A446" s="182"/>
      <c r="B446" s="183">
        <v>530</v>
      </c>
      <c r="C446" s="184"/>
      <c r="D446" s="185" t="s">
        <v>240</v>
      </c>
      <c r="E446" s="185" t="s">
        <v>1205</v>
      </c>
      <c r="F446" s="185" t="s">
        <v>1205</v>
      </c>
      <c r="G446" s="182"/>
      <c r="H446" s="182"/>
      <c r="I446" s="182"/>
      <c r="J446" s="182"/>
      <c r="K446" s="182"/>
      <c r="L446" s="182"/>
      <c r="M446" s="182"/>
      <c r="N446" s="182"/>
      <c r="O446" s="182"/>
      <c r="P446" s="182"/>
      <c r="Q446" s="182"/>
      <c r="R446" s="182"/>
      <c r="S446" s="182"/>
      <c r="T446" s="182"/>
      <c r="U446" s="182"/>
      <c r="V446" s="182"/>
      <c r="W446" s="182"/>
      <c r="X446" s="182"/>
      <c r="Y446" s="182"/>
      <c r="Z446" s="182"/>
      <c r="AA446" s="182"/>
    </row>
    <row r="447" spans="1:27" s="187" customFormat="1">
      <c r="A447" s="182"/>
      <c r="B447" s="183">
        <v>531</v>
      </c>
      <c r="C447" s="184"/>
      <c r="D447" s="185" t="s">
        <v>241</v>
      </c>
      <c r="E447" s="185" t="s">
        <v>1206</v>
      </c>
      <c r="F447" s="185" t="s">
        <v>1206</v>
      </c>
      <c r="G447" s="182"/>
      <c r="H447" s="182"/>
      <c r="I447" s="182"/>
      <c r="J447" s="182"/>
      <c r="K447" s="182"/>
      <c r="L447" s="182"/>
      <c r="M447" s="182"/>
      <c r="N447" s="182"/>
      <c r="O447" s="182"/>
      <c r="P447" s="182"/>
      <c r="Q447" s="182"/>
      <c r="R447" s="182"/>
      <c r="S447" s="182"/>
      <c r="T447" s="182"/>
      <c r="U447" s="182"/>
      <c r="V447" s="182"/>
      <c r="W447" s="182"/>
      <c r="X447" s="182"/>
      <c r="Y447" s="182"/>
      <c r="Z447" s="182"/>
      <c r="AA447" s="182"/>
    </row>
    <row r="448" spans="1:27" s="187" customFormat="1" ht="36">
      <c r="A448" s="182"/>
      <c r="B448" s="183">
        <v>532</v>
      </c>
      <c r="C448" s="184"/>
      <c r="D448" s="185" t="s">
        <v>242</v>
      </c>
      <c r="E448" s="185" t="s">
        <v>1207</v>
      </c>
      <c r="F448" s="185" t="s">
        <v>1207</v>
      </c>
      <c r="G448" s="182"/>
      <c r="H448" s="182"/>
      <c r="I448" s="182"/>
      <c r="J448" s="182"/>
      <c r="K448" s="182"/>
      <c r="L448" s="182"/>
      <c r="M448" s="182"/>
      <c r="N448" s="182"/>
      <c r="O448" s="182"/>
      <c r="P448" s="182"/>
      <c r="Q448" s="182"/>
      <c r="R448" s="182"/>
      <c r="S448" s="182"/>
      <c r="T448" s="182"/>
      <c r="U448" s="182"/>
      <c r="V448" s="182"/>
      <c r="W448" s="182"/>
      <c r="X448" s="182"/>
      <c r="Y448" s="182"/>
      <c r="Z448" s="182"/>
      <c r="AA448" s="182"/>
    </row>
    <row r="449" spans="1:27" s="187" customFormat="1" ht="24">
      <c r="A449" s="182"/>
      <c r="B449" s="183">
        <v>533</v>
      </c>
      <c r="C449" s="184"/>
      <c r="D449" s="185" t="s">
        <v>243</v>
      </c>
      <c r="E449" s="185" t="s">
        <v>1208</v>
      </c>
      <c r="F449" s="185" t="s">
        <v>1208</v>
      </c>
      <c r="G449" s="182"/>
      <c r="H449" s="182"/>
      <c r="I449" s="182"/>
      <c r="J449" s="182"/>
      <c r="K449" s="182"/>
      <c r="L449" s="182"/>
      <c r="M449" s="182"/>
      <c r="N449" s="182"/>
      <c r="O449" s="182"/>
      <c r="P449" s="182"/>
      <c r="Q449" s="182"/>
      <c r="R449" s="182"/>
      <c r="S449" s="182"/>
      <c r="T449" s="182"/>
      <c r="U449" s="182"/>
      <c r="V449" s="182"/>
      <c r="W449" s="182"/>
      <c r="X449" s="182"/>
      <c r="Y449" s="182"/>
      <c r="Z449" s="182"/>
      <c r="AA449" s="182"/>
    </row>
    <row r="450" spans="1:27" s="187" customFormat="1" ht="24">
      <c r="A450" s="182"/>
      <c r="B450" s="183">
        <v>534</v>
      </c>
      <c r="C450" s="184"/>
      <c r="D450" s="185" t="s">
        <v>244</v>
      </c>
      <c r="E450" s="185" t="s">
        <v>1209</v>
      </c>
      <c r="F450" s="185" t="s">
        <v>1209</v>
      </c>
      <c r="G450" s="182"/>
      <c r="H450" s="182"/>
      <c r="I450" s="182"/>
      <c r="J450" s="182"/>
      <c r="K450" s="182"/>
      <c r="L450" s="182"/>
      <c r="M450" s="182"/>
      <c r="N450" s="182"/>
      <c r="O450" s="182"/>
      <c r="P450" s="182"/>
      <c r="Q450" s="182"/>
      <c r="R450" s="182"/>
      <c r="S450" s="182"/>
      <c r="T450" s="182"/>
      <c r="U450" s="182"/>
      <c r="V450" s="182"/>
      <c r="W450" s="182"/>
      <c r="X450" s="182"/>
      <c r="Y450" s="182"/>
      <c r="Z450" s="182"/>
      <c r="AA450" s="182"/>
    </row>
    <row r="451" spans="1:27" s="187" customFormat="1" ht="24">
      <c r="A451" s="182"/>
      <c r="B451" s="183">
        <v>535</v>
      </c>
      <c r="C451" s="184"/>
      <c r="D451" s="185" t="s">
        <v>245</v>
      </c>
      <c r="E451" s="185" t="s">
        <v>1210</v>
      </c>
      <c r="F451" s="185" t="s">
        <v>1210</v>
      </c>
      <c r="G451" s="182"/>
      <c r="H451" s="182"/>
      <c r="I451" s="182"/>
      <c r="J451" s="182"/>
      <c r="K451" s="182"/>
      <c r="L451" s="182"/>
      <c r="M451" s="182"/>
      <c r="N451" s="182"/>
      <c r="O451" s="182"/>
      <c r="P451" s="182"/>
      <c r="Q451" s="182"/>
      <c r="R451" s="182"/>
      <c r="S451" s="182"/>
      <c r="T451" s="182"/>
      <c r="U451" s="182"/>
      <c r="V451" s="182"/>
      <c r="W451" s="182"/>
      <c r="X451" s="182"/>
      <c r="Y451" s="182"/>
      <c r="Z451" s="182"/>
      <c r="AA451" s="182"/>
    </row>
    <row r="452" spans="1:27" s="187" customFormat="1" ht="24">
      <c r="A452" s="182"/>
      <c r="B452" s="183">
        <v>536</v>
      </c>
      <c r="C452" s="184"/>
      <c r="D452" s="185" t="s">
        <v>246</v>
      </c>
      <c r="E452" s="185" t="s">
        <v>1211</v>
      </c>
      <c r="F452" s="185" t="s">
        <v>1211</v>
      </c>
      <c r="G452" s="182"/>
      <c r="H452" s="182"/>
      <c r="I452" s="182"/>
      <c r="J452" s="182"/>
      <c r="K452" s="182"/>
      <c r="L452" s="182"/>
      <c r="M452" s="182"/>
      <c r="N452" s="182"/>
      <c r="O452" s="182"/>
      <c r="P452" s="182"/>
      <c r="Q452" s="182"/>
      <c r="R452" s="182"/>
      <c r="S452" s="182"/>
      <c r="T452" s="182"/>
      <c r="U452" s="182"/>
      <c r="V452" s="182"/>
      <c r="W452" s="182"/>
      <c r="X452" s="182"/>
      <c r="Y452" s="182"/>
      <c r="Z452" s="182"/>
      <c r="AA452" s="182"/>
    </row>
    <row r="453" spans="1:27" s="187" customFormat="1">
      <c r="A453" s="182"/>
      <c r="B453" s="183">
        <v>537</v>
      </c>
      <c r="C453" s="184"/>
      <c r="D453" s="185" t="s">
        <v>247</v>
      </c>
      <c r="E453" s="185" t="s">
        <v>1212</v>
      </c>
      <c r="F453" s="185" t="s">
        <v>1212</v>
      </c>
      <c r="G453" s="182"/>
      <c r="H453" s="182"/>
      <c r="I453" s="182"/>
      <c r="J453" s="182"/>
      <c r="K453" s="182"/>
      <c r="L453" s="182"/>
      <c r="M453" s="182"/>
      <c r="N453" s="182"/>
      <c r="O453" s="182"/>
      <c r="P453" s="182"/>
      <c r="Q453" s="182"/>
      <c r="R453" s="182"/>
      <c r="S453" s="182"/>
      <c r="T453" s="182"/>
      <c r="U453" s="182"/>
      <c r="V453" s="182"/>
      <c r="W453" s="182"/>
      <c r="X453" s="182"/>
      <c r="Y453" s="182"/>
      <c r="Z453" s="182"/>
      <c r="AA453" s="182"/>
    </row>
    <row r="454" spans="1:27" s="187" customFormat="1">
      <c r="A454" s="182"/>
      <c r="B454" s="183">
        <v>538</v>
      </c>
      <c r="C454" s="184"/>
      <c r="D454" s="185" t="s">
        <v>248</v>
      </c>
      <c r="E454" s="185" t="s">
        <v>1213</v>
      </c>
      <c r="F454" s="185" t="s">
        <v>1213</v>
      </c>
      <c r="G454" s="182"/>
      <c r="H454" s="182"/>
      <c r="I454" s="182"/>
      <c r="J454" s="182"/>
      <c r="K454" s="182"/>
      <c r="L454" s="182"/>
      <c r="M454" s="182"/>
      <c r="N454" s="182"/>
      <c r="O454" s="182"/>
      <c r="P454" s="182"/>
      <c r="Q454" s="182"/>
      <c r="R454" s="182"/>
      <c r="S454" s="182"/>
      <c r="T454" s="182"/>
      <c r="U454" s="182"/>
      <c r="V454" s="182"/>
      <c r="W454" s="182"/>
      <c r="X454" s="182"/>
      <c r="Y454" s="182"/>
      <c r="Z454" s="182"/>
      <c r="AA454" s="182"/>
    </row>
    <row r="455" spans="1:27" s="187" customFormat="1" ht="24">
      <c r="A455" s="182"/>
      <c r="B455" s="183">
        <v>539</v>
      </c>
      <c r="C455" s="184"/>
      <c r="D455" s="185" t="s">
        <v>249</v>
      </c>
      <c r="E455" s="185" t="s">
        <v>1214</v>
      </c>
      <c r="F455" s="185" t="s">
        <v>1214</v>
      </c>
      <c r="G455" s="182"/>
      <c r="H455" s="182"/>
      <c r="I455" s="182"/>
      <c r="J455" s="182"/>
      <c r="K455" s="182"/>
      <c r="L455" s="182"/>
      <c r="M455" s="182"/>
      <c r="N455" s="182"/>
      <c r="O455" s="182"/>
      <c r="P455" s="182"/>
      <c r="Q455" s="182"/>
      <c r="R455" s="182"/>
      <c r="S455" s="182"/>
      <c r="T455" s="182"/>
      <c r="U455" s="182"/>
      <c r="V455" s="182"/>
      <c r="W455" s="182"/>
      <c r="X455" s="182"/>
      <c r="Y455" s="182"/>
      <c r="Z455" s="182"/>
      <c r="AA455" s="182"/>
    </row>
    <row r="456" spans="1:27" s="187" customFormat="1">
      <c r="A456" s="182"/>
      <c r="B456" s="183">
        <v>540</v>
      </c>
      <c r="C456" s="184"/>
      <c r="D456" s="185" t="s">
        <v>250</v>
      </c>
      <c r="E456" s="185" t="s">
        <v>1215</v>
      </c>
      <c r="F456" s="185" t="s">
        <v>1215</v>
      </c>
      <c r="G456" s="182"/>
      <c r="H456" s="182"/>
      <c r="I456" s="182"/>
      <c r="J456" s="182"/>
      <c r="K456" s="182"/>
      <c r="L456" s="182"/>
      <c r="M456" s="182"/>
      <c r="N456" s="182"/>
      <c r="O456" s="182"/>
      <c r="P456" s="182"/>
      <c r="Q456" s="182"/>
      <c r="R456" s="182"/>
      <c r="S456" s="182"/>
      <c r="T456" s="182"/>
      <c r="U456" s="182"/>
      <c r="V456" s="182"/>
      <c r="W456" s="182"/>
      <c r="X456" s="182"/>
      <c r="Y456" s="182"/>
      <c r="Z456" s="182"/>
      <c r="AA456" s="182"/>
    </row>
    <row r="457" spans="1:27">
      <c r="B457" s="183">
        <v>541</v>
      </c>
      <c r="D457" s="185" t="s">
        <v>251</v>
      </c>
      <c r="E457" s="185" t="s">
        <v>1216</v>
      </c>
      <c r="F457" s="185" t="s">
        <v>1216</v>
      </c>
    </row>
    <row r="458" spans="1:27">
      <c r="B458" s="183">
        <v>542</v>
      </c>
      <c r="D458" s="185" t="s">
        <v>252</v>
      </c>
      <c r="E458" s="185" t="s">
        <v>1217</v>
      </c>
      <c r="F458" s="185" t="s">
        <v>1217</v>
      </c>
    </row>
    <row r="459" spans="1:27" ht="24">
      <c r="B459" s="183">
        <v>543</v>
      </c>
      <c r="D459" s="185" t="s">
        <v>400</v>
      </c>
      <c r="E459" s="185" t="s">
        <v>1218</v>
      </c>
      <c r="F459" s="185" t="s">
        <v>1218</v>
      </c>
    </row>
    <row r="460" spans="1:27" ht="48">
      <c r="A460" s="186"/>
      <c r="B460" s="183">
        <v>544</v>
      </c>
      <c r="C460" s="192" t="s">
        <v>432</v>
      </c>
      <c r="D460" s="186" t="s">
        <v>445</v>
      </c>
      <c r="E460" s="186" t="s">
        <v>1219</v>
      </c>
      <c r="F460" s="186" t="s">
        <v>1219</v>
      </c>
    </row>
    <row r="461" spans="1:27" ht="36">
      <c r="B461" s="183">
        <v>545</v>
      </c>
      <c r="D461" s="185" t="s">
        <v>253</v>
      </c>
      <c r="E461" s="185" t="s">
        <v>1220</v>
      </c>
      <c r="F461" s="185" t="s">
        <v>1220</v>
      </c>
    </row>
    <row r="462" spans="1:27">
      <c r="B462" s="183">
        <v>546</v>
      </c>
      <c r="D462" s="185" t="s">
        <v>254</v>
      </c>
      <c r="E462" s="185" t="s">
        <v>1221</v>
      </c>
      <c r="F462" s="185" t="s">
        <v>1221</v>
      </c>
    </row>
    <row r="463" spans="1:27">
      <c r="B463" s="183">
        <v>547</v>
      </c>
      <c r="D463" s="185" t="s">
        <v>255</v>
      </c>
      <c r="E463" s="185" t="s">
        <v>1222</v>
      </c>
      <c r="F463" s="185" t="s">
        <v>1222</v>
      </c>
    </row>
    <row r="464" spans="1:27">
      <c r="B464" s="183">
        <v>548</v>
      </c>
      <c r="D464" s="185" t="s">
        <v>256</v>
      </c>
      <c r="E464" s="185" t="s">
        <v>1223</v>
      </c>
      <c r="F464" s="185" t="s">
        <v>1223</v>
      </c>
    </row>
    <row r="465" spans="2:6" ht="24">
      <c r="B465" s="183">
        <v>549</v>
      </c>
      <c r="D465" s="185" t="s">
        <v>479</v>
      </c>
      <c r="E465" s="185" t="s">
        <v>1224</v>
      </c>
      <c r="F465" s="185" t="s">
        <v>1224</v>
      </c>
    </row>
    <row r="466" spans="2:6">
      <c r="B466" s="183">
        <v>550</v>
      </c>
      <c r="D466" s="185" t="s">
        <v>257</v>
      </c>
      <c r="E466" s="185" t="s">
        <v>1225</v>
      </c>
      <c r="F466" s="185" t="s">
        <v>1225</v>
      </c>
    </row>
    <row r="467" spans="2:6">
      <c r="B467" s="183">
        <v>551</v>
      </c>
      <c r="D467" s="185" t="s">
        <v>258</v>
      </c>
      <c r="E467" s="185" t="s">
        <v>1226</v>
      </c>
      <c r="F467" s="185" t="s">
        <v>1226</v>
      </c>
    </row>
    <row r="468" spans="2:6">
      <c r="B468" s="183">
        <v>552</v>
      </c>
      <c r="D468" s="185" t="s">
        <v>259</v>
      </c>
      <c r="E468" s="185" t="s">
        <v>1227</v>
      </c>
      <c r="F468" s="185" t="s">
        <v>1227</v>
      </c>
    </row>
    <row r="469" spans="2:6" ht="24">
      <c r="B469" s="183">
        <v>553</v>
      </c>
      <c r="D469" s="185" t="s">
        <v>606</v>
      </c>
      <c r="E469" s="185" t="s">
        <v>1228</v>
      </c>
      <c r="F469" s="185" t="s">
        <v>1228</v>
      </c>
    </row>
    <row r="470" spans="2:6">
      <c r="B470" s="183">
        <v>554</v>
      </c>
      <c r="D470" s="185" t="s">
        <v>607</v>
      </c>
      <c r="E470" s="185" t="s">
        <v>1229</v>
      </c>
      <c r="F470" s="185" t="s">
        <v>1229</v>
      </c>
    </row>
    <row r="471" spans="2:6" ht="24">
      <c r="B471" s="183">
        <v>555</v>
      </c>
      <c r="D471" s="185" t="s">
        <v>260</v>
      </c>
      <c r="E471" s="185" t="s">
        <v>1230</v>
      </c>
      <c r="F471" s="185" t="s">
        <v>1230</v>
      </c>
    </row>
    <row r="472" spans="2:6">
      <c r="B472" s="183">
        <v>556</v>
      </c>
      <c r="D472" s="185" t="s">
        <v>401</v>
      </c>
      <c r="E472" s="185" t="s">
        <v>1231</v>
      </c>
      <c r="F472" s="185" t="s">
        <v>1231</v>
      </c>
    </row>
    <row r="473" spans="2:6" ht="24">
      <c r="B473" s="183">
        <v>557</v>
      </c>
      <c r="D473" s="185" t="s">
        <v>261</v>
      </c>
      <c r="E473" s="185" t="s">
        <v>1232</v>
      </c>
      <c r="F473" s="185" t="s">
        <v>1232</v>
      </c>
    </row>
    <row r="474" spans="2:6" ht="24">
      <c r="B474" s="183">
        <v>558</v>
      </c>
      <c r="D474" s="185" t="s">
        <v>402</v>
      </c>
      <c r="E474" s="185" t="s">
        <v>1233</v>
      </c>
      <c r="F474" s="185" t="s">
        <v>1233</v>
      </c>
    </row>
    <row r="475" spans="2:6" ht="24">
      <c r="B475" s="183">
        <v>559</v>
      </c>
      <c r="D475" s="185" t="s">
        <v>262</v>
      </c>
      <c r="E475" s="185" t="s">
        <v>1234</v>
      </c>
      <c r="F475" s="185" t="s">
        <v>1234</v>
      </c>
    </row>
    <row r="476" spans="2:6">
      <c r="B476" s="183">
        <v>560</v>
      </c>
      <c r="D476" s="185" t="s">
        <v>263</v>
      </c>
      <c r="E476" s="185" t="s">
        <v>1235</v>
      </c>
      <c r="F476" s="185" t="s">
        <v>1235</v>
      </c>
    </row>
    <row r="477" spans="2:6">
      <c r="B477" s="183">
        <v>561</v>
      </c>
      <c r="C477" s="184" t="s">
        <v>484</v>
      </c>
      <c r="D477" s="185" t="s">
        <v>483</v>
      </c>
      <c r="E477" s="185" t="s">
        <v>1236</v>
      </c>
      <c r="F477" s="185" t="s">
        <v>1236</v>
      </c>
    </row>
    <row r="478" spans="2:6" ht="24">
      <c r="B478" s="183">
        <v>562</v>
      </c>
      <c r="C478" s="184" t="s">
        <v>484</v>
      </c>
      <c r="D478" s="185" t="s">
        <v>480</v>
      </c>
      <c r="E478" s="185" t="s">
        <v>1237</v>
      </c>
      <c r="F478" s="185" t="s">
        <v>1237</v>
      </c>
    </row>
    <row r="479" spans="2:6">
      <c r="B479" s="183">
        <v>563</v>
      </c>
      <c r="D479" s="185" t="s">
        <v>264</v>
      </c>
      <c r="E479" s="185" t="s">
        <v>1238</v>
      </c>
      <c r="F479" s="185" t="s">
        <v>1238</v>
      </c>
    </row>
    <row r="480" spans="2:6">
      <c r="B480" s="183">
        <v>564</v>
      </c>
      <c r="D480" s="185" t="s">
        <v>265</v>
      </c>
      <c r="E480" s="185" t="s">
        <v>1239</v>
      </c>
      <c r="F480" s="185" t="s">
        <v>1239</v>
      </c>
    </row>
    <row r="481" spans="2:6" ht="36">
      <c r="B481" s="183">
        <v>565</v>
      </c>
      <c r="D481" s="185" t="s">
        <v>332</v>
      </c>
      <c r="E481" s="185" t="s">
        <v>1240</v>
      </c>
      <c r="F481" s="185" t="s">
        <v>1240</v>
      </c>
    </row>
    <row r="482" spans="2:6">
      <c r="B482" s="183">
        <v>566</v>
      </c>
      <c r="D482" s="185" t="s">
        <v>266</v>
      </c>
      <c r="E482" s="185" t="s">
        <v>1241</v>
      </c>
      <c r="F482" s="185" t="s">
        <v>1241</v>
      </c>
    </row>
    <row r="483" spans="2:6">
      <c r="B483" s="183">
        <v>567</v>
      </c>
      <c r="D483" s="185" t="s">
        <v>267</v>
      </c>
      <c r="E483" s="185" t="s">
        <v>1242</v>
      </c>
      <c r="F483" s="185" t="s">
        <v>1242</v>
      </c>
    </row>
    <row r="484" spans="2:6">
      <c r="B484" s="183">
        <v>568</v>
      </c>
      <c r="D484" s="185" t="s">
        <v>268</v>
      </c>
      <c r="E484" s="185" t="s">
        <v>1243</v>
      </c>
      <c r="F484" s="185" t="s">
        <v>1243</v>
      </c>
    </row>
    <row r="485" spans="2:6">
      <c r="B485" s="183">
        <v>569</v>
      </c>
      <c r="D485" s="185" t="s">
        <v>269</v>
      </c>
      <c r="E485" s="185" t="s">
        <v>1244</v>
      </c>
      <c r="F485" s="185" t="s">
        <v>1244</v>
      </c>
    </row>
    <row r="486" spans="2:6">
      <c r="B486" s="183">
        <v>570</v>
      </c>
      <c r="D486" s="185" t="s">
        <v>270</v>
      </c>
      <c r="E486" s="185" t="s">
        <v>1245</v>
      </c>
      <c r="F486" s="185" t="s">
        <v>1245</v>
      </c>
    </row>
    <row r="487" spans="2:6" ht="36">
      <c r="B487" s="183">
        <v>571</v>
      </c>
      <c r="D487" s="185" t="s">
        <v>271</v>
      </c>
      <c r="E487" s="185" t="s">
        <v>1246</v>
      </c>
      <c r="F487" s="185" t="s">
        <v>1246</v>
      </c>
    </row>
    <row r="488" spans="2:6" ht="24">
      <c r="B488" s="183">
        <v>572</v>
      </c>
      <c r="D488" s="185" t="s">
        <v>272</v>
      </c>
      <c r="E488" s="185" t="s">
        <v>1247</v>
      </c>
      <c r="F488" s="185" t="s">
        <v>1247</v>
      </c>
    </row>
    <row r="489" spans="2:6">
      <c r="B489" s="183">
        <v>573</v>
      </c>
      <c r="D489" s="185" t="s">
        <v>273</v>
      </c>
      <c r="E489" s="185" t="s">
        <v>1248</v>
      </c>
      <c r="F489" s="185" t="s">
        <v>1248</v>
      </c>
    </row>
    <row r="490" spans="2:6">
      <c r="B490" s="183">
        <v>574</v>
      </c>
      <c r="D490" s="185" t="s">
        <v>274</v>
      </c>
      <c r="E490" s="185" t="s">
        <v>1249</v>
      </c>
      <c r="F490" s="185" t="s">
        <v>1249</v>
      </c>
    </row>
    <row r="491" spans="2:6" ht="24">
      <c r="B491" s="183">
        <v>575</v>
      </c>
      <c r="D491" s="185" t="s">
        <v>403</v>
      </c>
      <c r="E491" s="185" t="s">
        <v>1250</v>
      </c>
      <c r="F491" s="185" t="s">
        <v>1250</v>
      </c>
    </row>
    <row r="492" spans="2:6">
      <c r="B492" s="183">
        <v>576</v>
      </c>
      <c r="D492" s="185" t="s">
        <v>275</v>
      </c>
      <c r="E492" s="185" t="s">
        <v>1251</v>
      </c>
      <c r="F492" s="185" t="s">
        <v>1251</v>
      </c>
    </row>
    <row r="493" spans="2:6">
      <c r="B493" s="183">
        <v>577</v>
      </c>
      <c r="D493" s="185" t="s">
        <v>276</v>
      </c>
      <c r="E493" s="185" t="s">
        <v>1252</v>
      </c>
      <c r="F493" s="185" t="s">
        <v>1252</v>
      </c>
    </row>
    <row r="494" spans="2:6">
      <c r="B494" s="183">
        <v>578</v>
      </c>
      <c r="D494" s="185" t="s">
        <v>612</v>
      </c>
      <c r="E494" s="185" t="s">
        <v>1253</v>
      </c>
      <c r="F494" s="185" t="s">
        <v>1253</v>
      </c>
    </row>
    <row r="495" spans="2:6">
      <c r="B495" s="183">
        <v>579</v>
      </c>
      <c r="D495" s="185" t="s">
        <v>610</v>
      </c>
      <c r="E495" s="185" t="s">
        <v>1254</v>
      </c>
      <c r="F495" s="185" t="s">
        <v>1254</v>
      </c>
    </row>
    <row r="496" spans="2:6">
      <c r="B496" s="183">
        <v>580</v>
      </c>
      <c r="D496" s="185" t="s">
        <v>277</v>
      </c>
      <c r="E496" s="185" t="s">
        <v>1255</v>
      </c>
      <c r="F496" s="185" t="s">
        <v>1255</v>
      </c>
    </row>
    <row r="497" spans="1:6">
      <c r="B497" s="183">
        <v>581</v>
      </c>
      <c r="D497" s="185" t="s">
        <v>404</v>
      </c>
      <c r="E497" s="185" t="s">
        <v>1256</v>
      </c>
      <c r="F497" s="185" t="s">
        <v>1256</v>
      </c>
    </row>
    <row r="498" spans="1:6" ht="36">
      <c r="B498" s="183">
        <v>582</v>
      </c>
      <c r="D498" s="185" t="s">
        <v>405</v>
      </c>
      <c r="E498" s="185" t="s">
        <v>1257</v>
      </c>
      <c r="F498" s="185" t="s">
        <v>1257</v>
      </c>
    </row>
    <row r="499" spans="1:6">
      <c r="B499" s="183">
        <v>583</v>
      </c>
      <c r="D499" s="185" t="s">
        <v>278</v>
      </c>
      <c r="E499" s="185" t="s">
        <v>1258</v>
      </c>
      <c r="F499" s="185" t="s">
        <v>1258</v>
      </c>
    </row>
    <row r="500" spans="1:6">
      <c r="B500" s="183">
        <v>584</v>
      </c>
      <c r="D500" s="185" t="s">
        <v>279</v>
      </c>
      <c r="E500" s="185" t="s">
        <v>1259</v>
      </c>
      <c r="F500" s="185" t="s">
        <v>1259</v>
      </c>
    </row>
    <row r="501" spans="1:6">
      <c r="B501" s="183">
        <v>585</v>
      </c>
      <c r="C501" s="184" t="s">
        <v>466</v>
      </c>
      <c r="D501" s="182" t="s">
        <v>461</v>
      </c>
      <c r="E501" s="190" t="s">
        <v>1260</v>
      </c>
      <c r="F501" s="190" t="s">
        <v>1260</v>
      </c>
    </row>
    <row r="502" spans="1:6">
      <c r="B502" s="183">
        <v>586</v>
      </c>
      <c r="C502" s="184" t="s">
        <v>466</v>
      </c>
      <c r="D502" s="185" t="s">
        <v>459</v>
      </c>
      <c r="E502" s="190" t="s">
        <v>1261</v>
      </c>
      <c r="F502" s="190" t="s">
        <v>1261</v>
      </c>
    </row>
    <row r="503" spans="1:6">
      <c r="B503" s="183">
        <v>587</v>
      </c>
      <c r="D503" s="185" t="s">
        <v>280</v>
      </c>
      <c r="E503" s="185" t="s">
        <v>1262</v>
      </c>
      <c r="F503" s="185" t="s">
        <v>1262</v>
      </c>
    </row>
    <row r="504" spans="1:6" ht="36">
      <c r="B504" s="183">
        <v>588</v>
      </c>
      <c r="D504" s="185" t="s">
        <v>281</v>
      </c>
      <c r="E504" s="185" t="s">
        <v>1263</v>
      </c>
      <c r="F504" s="185" t="s">
        <v>1263</v>
      </c>
    </row>
    <row r="505" spans="1:6">
      <c r="B505" s="183">
        <v>589</v>
      </c>
      <c r="D505" s="185" t="s">
        <v>282</v>
      </c>
      <c r="E505" s="185" t="s">
        <v>1264</v>
      </c>
      <c r="F505" s="185" t="s">
        <v>1264</v>
      </c>
    </row>
    <row r="506" spans="1:6">
      <c r="A506" s="187"/>
      <c r="B506" s="183">
        <v>590</v>
      </c>
      <c r="C506" s="188" t="s">
        <v>414</v>
      </c>
      <c r="D506" s="186" t="s">
        <v>420</v>
      </c>
      <c r="E506" s="186" t="s">
        <v>1265</v>
      </c>
      <c r="F506" s="186" t="s">
        <v>1265</v>
      </c>
    </row>
    <row r="507" spans="1:6">
      <c r="A507" s="187"/>
      <c r="B507" s="183">
        <v>591</v>
      </c>
      <c r="C507" s="188" t="s">
        <v>414</v>
      </c>
      <c r="D507" s="186" t="s">
        <v>446</v>
      </c>
      <c r="E507" s="186" t="s">
        <v>1266</v>
      </c>
      <c r="F507" s="186" t="s">
        <v>1266</v>
      </c>
    </row>
    <row r="508" spans="1:6">
      <c r="B508" s="183">
        <v>592</v>
      </c>
      <c r="D508" s="185" t="s">
        <v>283</v>
      </c>
      <c r="E508" s="186" t="s">
        <v>1267</v>
      </c>
      <c r="F508" s="186" t="s">
        <v>1267</v>
      </c>
    </row>
    <row r="509" spans="1:6">
      <c r="B509" s="183">
        <v>593</v>
      </c>
      <c r="D509" s="185" t="s">
        <v>284</v>
      </c>
      <c r="E509" s="185" t="s">
        <v>1268</v>
      </c>
      <c r="F509" s="185" t="s">
        <v>1268</v>
      </c>
    </row>
    <row r="510" spans="1:6">
      <c r="B510" s="183">
        <v>594</v>
      </c>
      <c r="D510" s="185" t="s">
        <v>285</v>
      </c>
      <c r="E510" s="185" t="s">
        <v>1269</v>
      </c>
      <c r="F510" s="185" t="s">
        <v>1269</v>
      </c>
    </row>
    <row r="511" spans="1:6" ht="24">
      <c r="B511" s="183">
        <v>595</v>
      </c>
      <c r="D511" s="185" t="s">
        <v>286</v>
      </c>
      <c r="E511" s="185" t="s">
        <v>1270</v>
      </c>
      <c r="F511" s="185" t="s">
        <v>1270</v>
      </c>
    </row>
    <row r="512" spans="1:6">
      <c r="B512" s="183">
        <v>596</v>
      </c>
      <c r="D512" s="185" t="s">
        <v>287</v>
      </c>
      <c r="E512" s="185" t="s">
        <v>1271</v>
      </c>
      <c r="F512" s="185" t="s">
        <v>1271</v>
      </c>
    </row>
    <row r="513" spans="2:6" ht="36">
      <c r="B513" s="183">
        <v>597</v>
      </c>
      <c r="D513" s="185" t="s">
        <v>288</v>
      </c>
      <c r="E513" s="185" t="s">
        <v>1272</v>
      </c>
      <c r="F513" s="185" t="s">
        <v>1272</v>
      </c>
    </row>
    <row r="514" spans="2:6">
      <c r="B514" s="183">
        <v>598</v>
      </c>
      <c r="D514" s="185" t="s">
        <v>289</v>
      </c>
      <c r="E514" s="185" t="s">
        <v>1273</v>
      </c>
      <c r="F514" s="185" t="s">
        <v>1273</v>
      </c>
    </row>
    <row r="515" spans="2:6">
      <c r="B515" s="183">
        <v>599</v>
      </c>
      <c r="D515" s="185" t="s">
        <v>290</v>
      </c>
      <c r="E515" s="185" t="s">
        <v>1274</v>
      </c>
      <c r="F515" s="185" t="s">
        <v>1274</v>
      </c>
    </row>
    <row r="516" spans="2:6">
      <c r="B516" s="183">
        <v>600</v>
      </c>
      <c r="D516" s="185" t="s">
        <v>291</v>
      </c>
      <c r="E516" s="185" t="s">
        <v>1275</v>
      </c>
      <c r="F516" s="185" t="s">
        <v>1275</v>
      </c>
    </row>
    <row r="517" spans="2:6">
      <c r="B517" s="183">
        <v>601</v>
      </c>
      <c r="D517" s="185" t="s">
        <v>292</v>
      </c>
      <c r="E517" s="185" t="s">
        <v>1276</v>
      </c>
      <c r="F517" s="185" t="s">
        <v>1276</v>
      </c>
    </row>
    <row r="518" spans="2:6">
      <c r="B518" s="183">
        <v>602</v>
      </c>
      <c r="D518" s="185" t="s">
        <v>293</v>
      </c>
      <c r="E518" s="185" t="s">
        <v>1277</v>
      </c>
      <c r="F518" s="185" t="s">
        <v>1277</v>
      </c>
    </row>
    <row r="519" spans="2:6">
      <c r="B519" s="183">
        <v>603</v>
      </c>
      <c r="D519" s="185" t="s">
        <v>294</v>
      </c>
      <c r="E519" s="185" t="s">
        <v>1278</v>
      </c>
      <c r="F519" s="185" t="s">
        <v>1278</v>
      </c>
    </row>
    <row r="520" spans="2:6">
      <c r="B520" s="183">
        <v>604</v>
      </c>
      <c r="D520" s="185" t="s">
        <v>295</v>
      </c>
      <c r="E520" s="185" t="s">
        <v>295</v>
      </c>
      <c r="F520" s="185" t="s">
        <v>295</v>
      </c>
    </row>
    <row r="521" spans="2:6">
      <c r="B521" s="183">
        <v>605</v>
      </c>
      <c r="D521" s="185" t="s">
        <v>406</v>
      </c>
      <c r="E521" s="185" t="s">
        <v>1279</v>
      </c>
      <c r="F521" s="185" t="s">
        <v>1279</v>
      </c>
    </row>
    <row r="522" spans="2:6" ht="24">
      <c r="B522" s="183">
        <v>606</v>
      </c>
      <c r="D522" s="185" t="s">
        <v>296</v>
      </c>
      <c r="E522" s="185" t="s">
        <v>1280</v>
      </c>
      <c r="F522" s="185" t="s">
        <v>1280</v>
      </c>
    </row>
    <row r="523" spans="2:6">
      <c r="B523" s="183">
        <v>607</v>
      </c>
      <c r="D523" s="185" t="s">
        <v>297</v>
      </c>
      <c r="E523" s="185" t="s">
        <v>297</v>
      </c>
      <c r="F523" s="185" t="s">
        <v>297</v>
      </c>
    </row>
    <row r="524" spans="2:6">
      <c r="B524" s="183">
        <v>608</v>
      </c>
      <c r="D524" s="185" t="s">
        <v>595</v>
      </c>
      <c r="E524" s="185" t="s">
        <v>1281</v>
      </c>
      <c r="F524" s="185" t="s">
        <v>1281</v>
      </c>
    </row>
    <row r="525" spans="2:6">
      <c r="B525" s="183">
        <v>609</v>
      </c>
      <c r="D525" s="185" t="s">
        <v>594</v>
      </c>
      <c r="E525" s="185" t="s">
        <v>1282</v>
      </c>
      <c r="F525" s="185" t="s">
        <v>1282</v>
      </c>
    </row>
    <row r="526" spans="2:6">
      <c r="B526" s="183">
        <v>610</v>
      </c>
      <c r="D526" s="185" t="s">
        <v>407</v>
      </c>
      <c r="F526" s="185"/>
    </row>
    <row r="527" spans="2:6">
      <c r="B527" s="183">
        <v>611</v>
      </c>
      <c r="D527" s="185" t="s">
        <v>298</v>
      </c>
      <c r="E527" s="185" t="s">
        <v>1283</v>
      </c>
      <c r="F527" s="185" t="s">
        <v>1283</v>
      </c>
    </row>
    <row r="528" spans="2:6">
      <c r="B528" s="183">
        <v>612</v>
      </c>
      <c r="C528" s="184" t="s">
        <v>484</v>
      </c>
      <c r="D528" s="185" t="s">
        <v>486</v>
      </c>
      <c r="E528" s="185" t="s">
        <v>1284</v>
      </c>
      <c r="F528" s="185" t="s">
        <v>1284</v>
      </c>
    </row>
    <row r="529" spans="2:6">
      <c r="B529" s="183">
        <v>613</v>
      </c>
      <c r="D529" s="185" t="s">
        <v>408</v>
      </c>
      <c r="E529" s="185" t="s">
        <v>1285</v>
      </c>
      <c r="F529" s="185" t="s">
        <v>1285</v>
      </c>
    </row>
    <row r="530" spans="2:6">
      <c r="B530" s="183">
        <v>614</v>
      </c>
      <c r="D530" s="185" t="s">
        <v>409</v>
      </c>
      <c r="E530" s="185" t="s">
        <v>1286</v>
      </c>
      <c r="F530" s="185" t="s">
        <v>1286</v>
      </c>
    </row>
    <row r="531" spans="2:6">
      <c r="B531" s="183">
        <v>615</v>
      </c>
      <c r="D531" s="185" t="s">
        <v>410</v>
      </c>
      <c r="E531" s="185" t="s">
        <v>1285</v>
      </c>
      <c r="F531" s="185" t="s">
        <v>1285</v>
      </c>
    </row>
    <row r="532" spans="2:6">
      <c r="B532" s="183">
        <v>616</v>
      </c>
      <c r="D532" s="185" t="s">
        <v>299</v>
      </c>
      <c r="E532" s="185" t="s">
        <v>1287</v>
      </c>
      <c r="F532" s="185" t="s">
        <v>1287</v>
      </c>
    </row>
    <row r="533" spans="2:6">
      <c r="B533" s="183">
        <v>617</v>
      </c>
      <c r="D533" s="185" t="s">
        <v>300</v>
      </c>
      <c r="E533" s="185" t="s">
        <v>1288</v>
      </c>
      <c r="F533" s="185" t="s">
        <v>1288</v>
      </c>
    </row>
    <row r="534" spans="2:6">
      <c r="B534" s="183">
        <v>618</v>
      </c>
      <c r="D534" s="185" t="s">
        <v>301</v>
      </c>
      <c r="E534" s="185" t="s">
        <v>1289</v>
      </c>
      <c r="F534" s="185" t="s">
        <v>1289</v>
      </c>
    </row>
    <row r="535" spans="2:6">
      <c r="B535" s="183">
        <v>619</v>
      </c>
      <c r="D535" s="185" t="s">
        <v>616</v>
      </c>
      <c r="E535" s="185" t="s">
        <v>1290</v>
      </c>
      <c r="F535" s="185" t="s">
        <v>1290</v>
      </c>
    </row>
    <row r="536" spans="2:6">
      <c r="B536" s="183">
        <v>620</v>
      </c>
      <c r="D536" s="185" t="s">
        <v>615</v>
      </c>
      <c r="E536" s="185" t="s">
        <v>1291</v>
      </c>
      <c r="F536" s="185" t="s">
        <v>1291</v>
      </c>
    </row>
    <row r="537" spans="2:6" ht="36">
      <c r="B537" s="183">
        <v>621</v>
      </c>
      <c r="C537" s="184" t="s">
        <v>543</v>
      </c>
      <c r="D537" s="185" t="s">
        <v>553</v>
      </c>
      <c r="E537" s="185" t="s">
        <v>1292</v>
      </c>
      <c r="F537" s="185" t="s">
        <v>1292</v>
      </c>
    </row>
    <row r="538" spans="2:6" ht="36">
      <c r="B538" s="183">
        <v>622</v>
      </c>
      <c r="C538" s="184" t="s">
        <v>543</v>
      </c>
      <c r="D538" s="185" t="s">
        <v>568</v>
      </c>
      <c r="E538" s="185" t="s">
        <v>1293</v>
      </c>
      <c r="F538" s="185" t="s">
        <v>1293</v>
      </c>
    </row>
    <row r="539" spans="2:6">
      <c r="B539" s="183">
        <v>623</v>
      </c>
      <c r="D539" s="185" t="s">
        <v>302</v>
      </c>
      <c r="E539" s="185" t="s">
        <v>1294</v>
      </c>
      <c r="F539" s="185" t="s">
        <v>1294</v>
      </c>
    </row>
    <row r="540" spans="2:6">
      <c r="B540" s="183">
        <v>624</v>
      </c>
      <c r="D540" s="185" t="s">
        <v>596</v>
      </c>
      <c r="E540" s="185" t="s">
        <v>1295</v>
      </c>
      <c r="F540" s="185" t="s">
        <v>1295</v>
      </c>
    </row>
    <row r="541" spans="2:6">
      <c r="B541" s="183">
        <v>625</v>
      </c>
      <c r="D541" s="185" t="s">
        <v>538</v>
      </c>
      <c r="E541" s="185" t="s">
        <v>538</v>
      </c>
      <c r="F541" s="185" t="s">
        <v>538</v>
      </c>
    </row>
    <row r="542" spans="2:6">
      <c r="B542" s="183">
        <v>626</v>
      </c>
      <c r="D542" s="185" t="s">
        <v>303</v>
      </c>
      <c r="F542" s="185"/>
    </row>
    <row r="543" spans="2:6">
      <c r="B543" s="183">
        <v>627</v>
      </c>
      <c r="D543" s="185" t="s">
        <v>304</v>
      </c>
      <c r="F543" s="185"/>
    </row>
    <row r="544" spans="2:6">
      <c r="B544" s="183">
        <v>628</v>
      </c>
      <c r="D544" s="185" t="s">
        <v>536</v>
      </c>
      <c r="E544" s="185" t="s">
        <v>537</v>
      </c>
      <c r="F544" s="185" t="s">
        <v>537</v>
      </c>
    </row>
    <row r="545" spans="1:6">
      <c r="B545" s="183">
        <v>629</v>
      </c>
      <c r="D545" s="185" t="s">
        <v>305</v>
      </c>
      <c r="E545" s="185" t="s">
        <v>1296</v>
      </c>
      <c r="F545" s="185" t="s">
        <v>1296</v>
      </c>
    </row>
    <row r="546" spans="1:6">
      <c r="B546" s="183">
        <v>630</v>
      </c>
      <c r="D546" s="185" t="s">
        <v>411</v>
      </c>
      <c r="E546" s="185" t="s">
        <v>1297</v>
      </c>
      <c r="F546" s="185" t="s">
        <v>1297</v>
      </c>
    </row>
    <row r="547" spans="1:6">
      <c r="B547" s="183">
        <v>631</v>
      </c>
      <c r="D547" s="185" t="s">
        <v>306</v>
      </c>
      <c r="E547" s="185" t="s">
        <v>1298</v>
      </c>
      <c r="F547" s="185" t="s">
        <v>1298</v>
      </c>
    </row>
    <row r="548" spans="1:6">
      <c r="B548" s="183">
        <v>632</v>
      </c>
      <c r="D548" s="185" t="s">
        <v>340</v>
      </c>
      <c r="E548" s="185" t="s">
        <v>1299</v>
      </c>
      <c r="F548" s="185" t="s">
        <v>1299</v>
      </c>
    </row>
    <row r="549" spans="1:6">
      <c r="B549" s="183">
        <v>633</v>
      </c>
      <c r="D549" s="185" t="s">
        <v>307</v>
      </c>
      <c r="E549" s="185" t="s">
        <v>1298</v>
      </c>
      <c r="F549" s="185" t="s">
        <v>1298</v>
      </c>
    </row>
    <row r="550" spans="1:6" ht="24">
      <c r="A550" s="186"/>
      <c r="B550" s="183">
        <v>634</v>
      </c>
      <c r="C550" s="186"/>
      <c r="D550" s="186" t="s">
        <v>447</v>
      </c>
      <c r="E550" s="186" t="s">
        <v>1300</v>
      </c>
      <c r="F550" s="186" t="s">
        <v>1300</v>
      </c>
    </row>
    <row r="551" spans="1:6">
      <c r="B551" s="183">
        <v>635</v>
      </c>
      <c r="C551" s="184" t="s">
        <v>543</v>
      </c>
      <c r="D551" s="185" t="s">
        <v>550</v>
      </c>
      <c r="E551" s="185" t="s">
        <v>1301</v>
      </c>
      <c r="F551" s="185" t="s">
        <v>1301</v>
      </c>
    </row>
    <row r="552" spans="1:6">
      <c r="B552" s="183">
        <v>636</v>
      </c>
      <c r="C552" s="184" t="s">
        <v>543</v>
      </c>
      <c r="D552" s="185" t="s">
        <v>641</v>
      </c>
      <c r="E552" s="185" t="s">
        <v>1302</v>
      </c>
      <c r="F552" s="185" t="s">
        <v>1302</v>
      </c>
    </row>
    <row r="553" spans="1:6">
      <c r="B553" s="183">
        <v>637</v>
      </c>
      <c r="D553" s="185" t="s">
        <v>308</v>
      </c>
      <c r="E553" s="185" t="s">
        <v>308</v>
      </c>
      <c r="F553" s="185" t="s">
        <v>308</v>
      </c>
    </row>
    <row r="554" spans="1:6">
      <c r="B554" s="183">
        <v>638</v>
      </c>
      <c r="D554" s="185" t="s">
        <v>309</v>
      </c>
      <c r="E554" s="185" t="s">
        <v>1303</v>
      </c>
      <c r="F554" s="185" t="s">
        <v>1303</v>
      </c>
    </row>
    <row r="555" spans="1:6">
      <c r="B555" s="183">
        <v>639</v>
      </c>
      <c r="D555" s="185" t="s">
        <v>310</v>
      </c>
      <c r="E555" s="185" t="s">
        <v>1304</v>
      </c>
      <c r="F555" s="185" t="s">
        <v>1304</v>
      </c>
    </row>
    <row r="556" spans="1:6">
      <c r="B556" s="183">
        <v>640</v>
      </c>
      <c r="D556" s="185" t="s">
        <v>412</v>
      </c>
      <c r="E556" s="185" t="s">
        <v>1305</v>
      </c>
      <c r="F556" s="185" t="s">
        <v>1305</v>
      </c>
    </row>
    <row r="557" spans="1:6" ht="24">
      <c r="B557" s="183">
        <v>641</v>
      </c>
      <c r="C557" s="184" t="s">
        <v>543</v>
      </c>
      <c r="D557" s="185" t="s">
        <v>569</v>
      </c>
      <c r="E557" s="185" t="s">
        <v>1306</v>
      </c>
      <c r="F557" s="185" t="s">
        <v>1306</v>
      </c>
    </row>
    <row r="558" spans="1:6">
      <c r="B558" s="183">
        <v>642</v>
      </c>
      <c r="D558" s="185" t="s">
        <v>311</v>
      </c>
      <c r="E558" s="185" t="s">
        <v>1307</v>
      </c>
      <c r="F558" s="185" t="s">
        <v>1307</v>
      </c>
    </row>
    <row r="559" spans="1:6" ht="36">
      <c r="B559" s="183">
        <v>643</v>
      </c>
      <c r="C559" s="184" t="s">
        <v>543</v>
      </c>
      <c r="D559" s="185" t="s">
        <v>576</v>
      </c>
      <c r="E559" s="185" t="s">
        <v>1308</v>
      </c>
      <c r="F559" s="185" t="s">
        <v>1308</v>
      </c>
    </row>
    <row r="560" spans="1:6">
      <c r="B560" s="183">
        <v>644</v>
      </c>
      <c r="D560" s="185" t="s">
        <v>312</v>
      </c>
      <c r="E560" s="185" t="s">
        <v>1309</v>
      </c>
      <c r="F560" s="185" t="s">
        <v>1309</v>
      </c>
    </row>
    <row r="561" spans="2:27">
      <c r="B561" s="183">
        <v>645</v>
      </c>
      <c r="D561" s="185" t="s">
        <v>313</v>
      </c>
      <c r="E561" s="185" t="s">
        <v>1310</v>
      </c>
      <c r="F561" s="185" t="s">
        <v>1310</v>
      </c>
    </row>
    <row r="562" spans="2:27">
      <c r="B562" s="183">
        <v>646</v>
      </c>
      <c r="D562" s="185" t="s">
        <v>413</v>
      </c>
      <c r="E562" s="185" t="s">
        <v>1311</v>
      </c>
      <c r="F562" s="185" t="s">
        <v>1311</v>
      </c>
    </row>
    <row r="563" spans="2:27" ht="24">
      <c r="B563" s="183">
        <v>647</v>
      </c>
      <c r="D563" s="185" t="s">
        <v>314</v>
      </c>
      <c r="E563" s="185" t="s">
        <v>1312</v>
      </c>
      <c r="F563" s="185" t="s">
        <v>1312</v>
      </c>
    </row>
    <row r="564" spans="2:27">
      <c r="B564" s="183">
        <v>648</v>
      </c>
      <c r="D564" s="185" t="s">
        <v>315</v>
      </c>
      <c r="E564" s="185" t="s">
        <v>1310</v>
      </c>
      <c r="F564" s="185" t="s">
        <v>1310</v>
      </c>
    </row>
    <row r="565" spans="2:27">
      <c r="B565" s="183">
        <v>649</v>
      </c>
      <c r="D565" s="185" t="s">
        <v>316</v>
      </c>
      <c r="E565" s="185" t="s">
        <v>1313</v>
      </c>
      <c r="F565" s="185" t="s">
        <v>1313</v>
      </c>
    </row>
    <row r="566" spans="2:27">
      <c r="B566" s="183">
        <v>650</v>
      </c>
      <c r="D566" s="185" t="s">
        <v>317</v>
      </c>
      <c r="E566" s="185" t="s">
        <v>1314</v>
      </c>
      <c r="F566" s="185" t="s">
        <v>1314</v>
      </c>
    </row>
    <row r="567" spans="2:27">
      <c r="B567" s="183">
        <v>651</v>
      </c>
      <c r="D567" s="185" t="s">
        <v>318</v>
      </c>
      <c r="E567" s="185" t="s">
        <v>1315</v>
      </c>
      <c r="F567" s="185" t="s">
        <v>1315</v>
      </c>
    </row>
    <row r="568" spans="2:27">
      <c r="B568" s="183">
        <v>652</v>
      </c>
      <c r="D568" s="185" t="s">
        <v>319</v>
      </c>
      <c r="E568" s="185" t="s">
        <v>1316</v>
      </c>
      <c r="F568" s="185" t="s">
        <v>1316</v>
      </c>
      <c r="G568" s="186"/>
      <c r="H568" s="186"/>
      <c r="I568" s="186"/>
      <c r="J568" s="186"/>
      <c r="K568" s="186"/>
      <c r="L568" s="186"/>
      <c r="M568" s="186"/>
      <c r="N568" s="186"/>
      <c r="O568" s="186"/>
      <c r="P568" s="186"/>
      <c r="Q568" s="186"/>
      <c r="R568" s="186"/>
      <c r="S568" s="186"/>
      <c r="T568" s="186"/>
      <c r="U568" s="186"/>
      <c r="V568" s="186"/>
      <c r="W568" s="186"/>
      <c r="X568" s="186"/>
      <c r="Y568" s="186"/>
      <c r="Z568" s="186"/>
      <c r="AA568" s="186"/>
    </row>
    <row r="569" spans="2:27" ht="24">
      <c r="B569" s="183">
        <v>653</v>
      </c>
      <c r="D569" s="185" t="s">
        <v>320</v>
      </c>
      <c r="E569" s="185" t="s">
        <v>1317</v>
      </c>
      <c r="F569" s="185" t="s">
        <v>1317</v>
      </c>
      <c r="G569" s="186"/>
      <c r="H569" s="186"/>
      <c r="I569" s="186"/>
      <c r="J569" s="186"/>
      <c r="K569" s="186"/>
      <c r="L569" s="186"/>
      <c r="M569" s="186"/>
      <c r="N569" s="186"/>
      <c r="O569" s="186"/>
      <c r="P569" s="186"/>
      <c r="Q569" s="186"/>
      <c r="R569" s="186"/>
      <c r="S569" s="186"/>
      <c r="T569" s="186"/>
      <c r="U569" s="186"/>
      <c r="V569" s="186"/>
      <c r="W569" s="186"/>
      <c r="X569" s="186"/>
      <c r="Y569" s="186"/>
      <c r="Z569" s="186"/>
      <c r="AA569" s="186"/>
    </row>
    <row r="570" spans="2:27">
      <c r="B570" s="183">
        <v>654</v>
      </c>
      <c r="D570" s="185" t="s">
        <v>321</v>
      </c>
      <c r="E570" s="185" t="s">
        <v>1309</v>
      </c>
      <c r="F570" s="185" t="s">
        <v>1309</v>
      </c>
      <c r="G570" s="187"/>
      <c r="H570" s="187"/>
      <c r="I570" s="187"/>
      <c r="J570" s="187"/>
      <c r="K570" s="187"/>
      <c r="L570" s="187"/>
      <c r="M570" s="187"/>
      <c r="N570" s="187"/>
      <c r="O570" s="187"/>
      <c r="P570" s="187"/>
      <c r="Q570" s="187"/>
      <c r="R570" s="187"/>
      <c r="S570" s="187"/>
      <c r="T570" s="187"/>
      <c r="U570" s="187"/>
      <c r="V570" s="187"/>
      <c r="W570" s="187"/>
      <c r="X570" s="187"/>
      <c r="Y570" s="187"/>
      <c r="Z570" s="187"/>
      <c r="AA570" s="187"/>
    </row>
    <row r="571" spans="2:27" ht="24">
      <c r="B571" s="183">
        <v>655</v>
      </c>
      <c r="C571" s="184" t="s">
        <v>543</v>
      </c>
      <c r="D571" s="185" t="s">
        <v>570</v>
      </c>
      <c r="E571" s="185" t="s">
        <v>1318</v>
      </c>
      <c r="F571" s="185" t="s">
        <v>1318</v>
      </c>
    </row>
    <row r="572" spans="2:27" ht="24">
      <c r="B572" s="183">
        <v>656</v>
      </c>
      <c r="D572" s="185" t="s">
        <v>322</v>
      </c>
      <c r="E572" s="185" t="s">
        <v>1319</v>
      </c>
      <c r="F572" s="185" t="s">
        <v>1319</v>
      </c>
      <c r="G572" s="187"/>
      <c r="H572" s="187"/>
      <c r="I572" s="187"/>
      <c r="J572" s="187"/>
      <c r="K572" s="187"/>
      <c r="L572" s="187"/>
      <c r="M572" s="187"/>
      <c r="N572" s="187"/>
      <c r="O572" s="187"/>
      <c r="P572" s="187"/>
      <c r="Q572" s="187"/>
      <c r="R572" s="187"/>
      <c r="S572" s="187"/>
      <c r="T572" s="187"/>
      <c r="U572" s="187"/>
      <c r="V572" s="187"/>
      <c r="W572" s="187"/>
      <c r="X572" s="187"/>
      <c r="Y572" s="187"/>
      <c r="Z572" s="187"/>
      <c r="AA572" s="187"/>
    </row>
    <row r="573" spans="2:27" ht="36">
      <c r="B573" s="183">
        <v>657</v>
      </c>
      <c r="D573" s="185" t="s">
        <v>323</v>
      </c>
      <c r="E573" s="185" t="s">
        <v>1320</v>
      </c>
      <c r="F573" s="185" t="s">
        <v>1320</v>
      </c>
      <c r="G573" s="187"/>
      <c r="H573" s="187"/>
      <c r="I573" s="187"/>
      <c r="J573" s="187"/>
      <c r="K573" s="187"/>
      <c r="L573" s="187"/>
      <c r="M573" s="187"/>
      <c r="N573" s="187"/>
      <c r="O573" s="187"/>
      <c r="P573" s="187"/>
      <c r="Q573" s="187"/>
      <c r="R573" s="187"/>
      <c r="S573" s="187"/>
      <c r="T573" s="187"/>
      <c r="U573" s="187"/>
      <c r="V573" s="187"/>
      <c r="W573" s="187"/>
      <c r="X573" s="187"/>
      <c r="Y573" s="187"/>
      <c r="Z573" s="187"/>
      <c r="AA573" s="187"/>
    </row>
    <row r="574" spans="2:27">
      <c r="B574" s="183">
        <v>658</v>
      </c>
      <c r="D574" s="185" t="s">
        <v>324</v>
      </c>
      <c r="E574" s="185" t="s">
        <v>1321</v>
      </c>
      <c r="F574" s="185" t="s">
        <v>1321</v>
      </c>
      <c r="G574" s="187"/>
      <c r="H574" s="187"/>
      <c r="I574" s="187"/>
      <c r="J574" s="187"/>
      <c r="K574" s="187"/>
      <c r="L574" s="187"/>
      <c r="M574" s="187"/>
      <c r="N574" s="187"/>
      <c r="O574" s="187"/>
      <c r="P574" s="187"/>
      <c r="Q574" s="187"/>
      <c r="R574" s="187"/>
      <c r="S574" s="187"/>
      <c r="T574" s="187"/>
      <c r="U574" s="187"/>
      <c r="V574" s="187"/>
      <c r="W574" s="187"/>
      <c r="X574" s="187"/>
      <c r="Y574" s="187"/>
      <c r="Z574" s="187"/>
      <c r="AA574" s="187"/>
    </row>
    <row r="575" spans="2:27" ht="36">
      <c r="B575" s="183">
        <v>659</v>
      </c>
      <c r="D575" s="185" t="s">
        <v>325</v>
      </c>
      <c r="E575" s="185" t="s">
        <v>1322</v>
      </c>
      <c r="F575" s="185" t="s">
        <v>1322</v>
      </c>
      <c r="G575" s="187"/>
      <c r="H575" s="187"/>
      <c r="I575" s="187"/>
      <c r="J575" s="187"/>
      <c r="K575" s="187"/>
      <c r="L575" s="187"/>
      <c r="M575" s="187"/>
      <c r="N575" s="187"/>
      <c r="O575" s="187"/>
      <c r="P575" s="187"/>
      <c r="Q575" s="187"/>
      <c r="R575" s="187"/>
      <c r="S575" s="187"/>
      <c r="T575" s="187"/>
      <c r="U575" s="187"/>
      <c r="V575" s="187"/>
      <c r="W575" s="187"/>
      <c r="X575" s="187"/>
      <c r="Y575" s="187"/>
      <c r="Z575" s="187"/>
      <c r="AA575" s="187"/>
    </row>
    <row r="576" spans="2:27">
      <c r="B576" s="183">
        <v>660</v>
      </c>
      <c r="D576" s="185" t="s">
        <v>326</v>
      </c>
      <c r="E576" s="185" t="s">
        <v>1323</v>
      </c>
      <c r="F576" s="185" t="s">
        <v>1323</v>
      </c>
      <c r="G576" s="187"/>
      <c r="H576" s="187"/>
      <c r="I576" s="187"/>
      <c r="J576" s="187"/>
      <c r="K576" s="187"/>
      <c r="L576" s="187"/>
      <c r="M576" s="187"/>
      <c r="N576" s="187"/>
      <c r="O576" s="187"/>
      <c r="P576" s="187"/>
      <c r="Q576" s="187"/>
      <c r="R576" s="187"/>
      <c r="S576" s="187"/>
      <c r="T576" s="187"/>
      <c r="U576" s="187"/>
      <c r="V576" s="187"/>
      <c r="W576" s="187"/>
      <c r="X576" s="187"/>
      <c r="Y576" s="187"/>
      <c r="Z576" s="187"/>
      <c r="AA576" s="187"/>
    </row>
    <row r="577" spans="2:27">
      <c r="B577" s="183">
        <v>661</v>
      </c>
      <c r="D577" s="185" t="s">
        <v>327</v>
      </c>
      <c r="E577" s="185" t="s">
        <v>1324</v>
      </c>
      <c r="F577" s="185" t="s">
        <v>1324</v>
      </c>
      <c r="G577" s="187"/>
      <c r="H577" s="187"/>
      <c r="I577" s="187"/>
      <c r="J577" s="187"/>
      <c r="K577" s="187"/>
      <c r="L577" s="187"/>
      <c r="M577" s="187"/>
      <c r="N577" s="187"/>
      <c r="O577" s="187"/>
      <c r="P577" s="187"/>
      <c r="Q577" s="187"/>
      <c r="R577" s="187"/>
      <c r="S577" s="187"/>
      <c r="T577" s="187"/>
      <c r="U577" s="187"/>
      <c r="V577" s="187"/>
      <c r="W577" s="187"/>
      <c r="X577" s="187"/>
      <c r="Y577" s="187"/>
      <c r="Z577" s="187"/>
      <c r="AA577" s="187"/>
    </row>
    <row r="578" spans="2:27">
      <c r="B578" s="183">
        <v>662</v>
      </c>
      <c r="D578" s="185" t="s">
        <v>328</v>
      </c>
      <c r="E578" s="185" t="s">
        <v>1325</v>
      </c>
      <c r="F578" s="185" t="s">
        <v>1325</v>
      </c>
      <c r="G578" s="187"/>
      <c r="H578" s="187"/>
      <c r="I578" s="187"/>
      <c r="J578" s="187"/>
      <c r="K578" s="187"/>
      <c r="L578" s="187"/>
      <c r="M578" s="187"/>
      <c r="N578" s="187"/>
      <c r="O578" s="187"/>
      <c r="P578" s="187"/>
      <c r="Q578" s="187"/>
      <c r="R578" s="187"/>
      <c r="S578" s="187"/>
      <c r="T578" s="187"/>
      <c r="U578" s="187"/>
      <c r="V578" s="187"/>
      <c r="W578" s="187"/>
      <c r="X578" s="187"/>
      <c r="Y578" s="187"/>
      <c r="Z578" s="187"/>
      <c r="AA578" s="187"/>
    </row>
    <row r="579" spans="2:27">
      <c r="B579" s="183">
        <v>663</v>
      </c>
      <c r="D579" s="185" t="s">
        <v>329</v>
      </c>
      <c r="E579" s="185" t="s">
        <v>1326</v>
      </c>
      <c r="F579" s="185" t="s">
        <v>1326</v>
      </c>
      <c r="G579" s="187"/>
      <c r="H579" s="187"/>
      <c r="I579" s="187"/>
      <c r="J579" s="187"/>
      <c r="K579" s="187"/>
      <c r="L579" s="187"/>
      <c r="M579" s="187"/>
      <c r="N579" s="187"/>
      <c r="O579" s="187"/>
      <c r="P579" s="187"/>
      <c r="Q579" s="187"/>
      <c r="R579" s="187"/>
      <c r="S579" s="187"/>
      <c r="T579" s="187"/>
      <c r="U579" s="187"/>
      <c r="V579" s="187"/>
      <c r="W579" s="187"/>
      <c r="X579" s="187"/>
      <c r="Y579" s="187"/>
      <c r="Z579" s="187"/>
      <c r="AA579" s="187"/>
    </row>
    <row r="580" spans="2:27">
      <c r="B580" s="183">
        <v>664</v>
      </c>
      <c r="D580" s="185" t="s">
        <v>330</v>
      </c>
      <c r="E580" s="185" t="s">
        <v>1327</v>
      </c>
      <c r="F580" s="185" t="s">
        <v>1327</v>
      </c>
      <c r="G580" s="187"/>
      <c r="H580" s="187"/>
      <c r="I580" s="187"/>
      <c r="J580" s="187"/>
      <c r="K580" s="187"/>
      <c r="L580" s="187"/>
      <c r="M580" s="187"/>
      <c r="N580" s="187"/>
      <c r="O580" s="187"/>
      <c r="P580" s="187"/>
      <c r="Q580" s="187"/>
      <c r="R580" s="187"/>
      <c r="S580" s="187"/>
      <c r="T580" s="187"/>
      <c r="U580" s="187"/>
      <c r="V580" s="187"/>
      <c r="W580" s="187"/>
      <c r="X580" s="187"/>
      <c r="Y580" s="187"/>
      <c r="Z580" s="187"/>
      <c r="AA580" s="187"/>
    </row>
    <row r="581" spans="2:27">
      <c r="B581" s="183">
        <v>665</v>
      </c>
      <c r="D581" s="185" t="s">
        <v>331</v>
      </c>
      <c r="E581" s="185" t="s">
        <v>1328</v>
      </c>
      <c r="F581" s="185" t="s">
        <v>1328</v>
      </c>
      <c r="G581" s="187"/>
      <c r="H581" s="187"/>
      <c r="I581" s="187"/>
      <c r="J581" s="187"/>
      <c r="K581" s="187"/>
      <c r="L581" s="187"/>
      <c r="M581" s="187"/>
      <c r="N581" s="187"/>
      <c r="O581" s="187"/>
      <c r="P581" s="187"/>
      <c r="Q581" s="187"/>
      <c r="R581" s="187"/>
      <c r="S581" s="187"/>
      <c r="T581" s="187"/>
      <c r="U581" s="187"/>
      <c r="V581" s="187"/>
      <c r="W581" s="187"/>
      <c r="X581" s="187"/>
      <c r="Y581" s="187"/>
      <c r="Z581" s="187"/>
      <c r="AA581" s="187"/>
    </row>
    <row r="582" spans="2:27">
      <c r="B582" s="183">
        <v>666</v>
      </c>
      <c r="D582" s="185" t="s">
        <v>649</v>
      </c>
      <c r="E582" s="185" t="s">
        <v>1329</v>
      </c>
      <c r="F582" s="185" t="s">
        <v>1329</v>
      </c>
    </row>
    <row r="583" spans="2:27">
      <c r="B583" s="183">
        <v>667</v>
      </c>
      <c r="D583" s="185" t="s">
        <v>650</v>
      </c>
      <c r="E583" s="185" t="s">
        <v>1330</v>
      </c>
      <c r="F583" s="185" t="s">
        <v>1330</v>
      </c>
    </row>
    <row r="584" spans="2:27">
      <c r="B584" s="183">
        <v>668</v>
      </c>
      <c r="D584" s="185" t="s">
        <v>642</v>
      </c>
      <c r="E584" s="185" t="s">
        <v>1331</v>
      </c>
      <c r="F584" s="185" t="s">
        <v>1331</v>
      </c>
    </row>
    <row r="585" spans="2:27">
      <c r="B585" s="183">
        <v>669</v>
      </c>
      <c r="D585" s="185" t="s">
        <v>648</v>
      </c>
      <c r="E585" s="185" t="s">
        <v>1332</v>
      </c>
      <c r="F585" s="185" t="s">
        <v>1332</v>
      </c>
    </row>
    <row r="586" spans="2:27">
      <c r="B586" s="183">
        <v>670</v>
      </c>
      <c r="D586" s="185" t="s">
        <v>645</v>
      </c>
      <c r="E586" s="185" t="s">
        <v>1333</v>
      </c>
      <c r="F586" s="185" t="s">
        <v>1333</v>
      </c>
    </row>
    <row r="587" spans="2:27">
      <c r="B587" s="183">
        <v>671</v>
      </c>
      <c r="D587" s="185" t="s">
        <v>646</v>
      </c>
      <c r="E587" s="185" t="s">
        <v>1334</v>
      </c>
      <c r="F587" s="185" t="s">
        <v>1334</v>
      </c>
    </row>
    <row r="588" spans="2:27">
      <c r="B588" s="183">
        <v>672</v>
      </c>
      <c r="D588" s="185" t="s">
        <v>647</v>
      </c>
      <c r="E588" s="185" t="s">
        <v>1335</v>
      </c>
      <c r="F588" s="185" t="s">
        <v>1335</v>
      </c>
    </row>
    <row r="589" spans="2:27">
      <c r="B589" s="183">
        <v>673</v>
      </c>
      <c r="D589" s="185" t="s">
        <v>651</v>
      </c>
      <c r="E589" s="185" t="s">
        <v>1336</v>
      </c>
      <c r="F589" s="185" t="s">
        <v>1336</v>
      </c>
    </row>
    <row r="590" spans="2:27">
      <c r="B590" s="183">
        <v>674</v>
      </c>
      <c r="D590" s="185" t="s">
        <v>725</v>
      </c>
      <c r="E590" s="185" t="s">
        <v>1337</v>
      </c>
      <c r="F590" s="185" t="s">
        <v>1337</v>
      </c>
    </row>
    <row r="591" spans="2:27">
      <c r="B591" s="183">
        <v>675</v>
      </c>
      <c r="D591" s="185" t="s">
        <v>729</v>
      </c>
      <c r="E591" s="185" t="s">
        <v>1338</v>
      </c>
      <c r="F591" s="185" t="s">
        <v>1338</v>
      </c>
    </row>
    <row r="592" spans="2:27">
      <c r="B592" s="183">
        <v>676</v>
      </c>
      <c r="D592" s="185" t="s">
        <v>730</v>
      </c>
      <c r="E592" s="185" t="s">
        <v>1339</v>
      </c>
      <c r="F592" s="185" t="s">
        <v>1339</v>
      </c>
    </row>
    <row r="593" spans="2:6">
      <c r="B593" s="183">
        <v>677</v>
      </c>
      <c r="D593" s="185" t="s">
        <v>731</v>
      </c>
      <c r="E593" s="185" t="s">
        <v>1340</v>
      </c>
      <c r="F593" s="182" t="s">
        <v>1340</v>
      </c>
    </row>
    <row r="594" spans="2:6">
      <c r="B594" s="183">
        <v>678</v>
      </c>
      <c r="D594" s="185" t="s">
        <v>732</v>
      </c>
      <c r="E594" s="185" t="s">
        <v>1341</v>
      </c>
      <c r="F594" s="185" t="s">
        <v>1341</v>
      </c>
    </row>
    <row r="595" spans="2:6">
      <c r="B595" s="183">
        <v>679</v>
      </c>
      <c r="D595" s="185" t="s">
        <v>1342</v>
      </c>
      <c r="E595" s="185" t="s">
        <v>1343</v>
      </c>
      <c r="F595" s="185" t="s">
        <v>1343</v>
      </c>
    </row>
    <row r="596" spans="2:6">
      <c r="B596" s="183">
        <v>680</v>
      </c>
      <c r="D596" s="185" t="s">
        <v>1344</v>
      </c>
      <c r="E596" s="202" t="s">
        <v>1346</v>
      </c>
      <c r="F596" s="202" t="s">
        <v>1346</v>
      </c>
    </row>
    <row r="597" spans="2:6">
      <c r="B597" s="183">
        <v>681</v>
      </c>
      <c r="D597" s="185" t="s">
        <v>1345</v>
      </c>
      <c r="E597" s="202" t="s">
        <v>1347</v>
      </c>
      <c r="F597" s="202" t="s">
        <v>1347</v>
      </c>
    </row>
    <row r="598" spans="2:6">
      <c r="B598" s="183">
        <v>682</v>
      </c>
      <c r="D598" s="185" t="s">
        <v>1357</v>
      </c>
      <c r="E598" s="210" t="s">
        <v>1358</v>
      </c>
      <c r="F598" s="210" t="s">
        <v>1358</v>
      </c>
    </row>
    <row r="599" spans="2:6">
      <c r="B599" s="183">
        <v>683</v>
      </c>
      <c r="D599" s="185" t="s">
        <v>1359</v>
      </c>
      <c r="E599" s="210" t="s">
        <v>1362</v>
      </c>
      <c r="F599" s="210" t="s">
        <v>1362</v>
      </c>
    </row>
    <row r="600" spans="2:6">
      <c r="B600" s="183">
        <v>684</v>
      </c>
      <c r="D600" s="185" t="s">
        <v>1360</v>
      </c>
      <c r="E600" s="185" t="s">
        <v>1361</v>
      </c>
      <c r="F600" s="185" t="s">
        <v>1361</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89"/>
  <sheetViews>
    <sheetView zoomScale="81" zoomScaleNormal="81" workbookViewId="0">
      <selection activeCell="D7" sqref="D7"/>
    </sheetView>
  </sheetViews>
  <sheetFormatPr defaultColWidth="10.625" defaultRowHeight="15"/>
  <cols>
    <col min="1" max="1" width="9.5" style="110" bestFit="1" customWidth="1"/>
    <col min="2" max="2" width="9.75" style="110" bestFit="1" customWidth="1"/>
    <col min="3" max="12" width="11.375" style="110" bestFit="1" customWidth="1"/>
    <col min="13" max="13" width="31.875" style="110" bestFit="1" customWidth="1"/>
    <col min="14" max="14" width="14.625" style="110" bestFit="1" customWidth="1"/>
    <col min="15" max="16" width="10.5" style="110" bestFit="1" customWidth="1"/>
    <col min="17" max="17" width="15.5" style="110" bestFit="1" customWidth="1"/>
    <col min="18" max="18" width="17.125" style="110" bestFit="1" customWidth="1"/>
    <col min="19" max="19" width="13.25" style="110" bestFit="1" customWidth="1"/>
    <col min="20" max="20" width="19.875" style="110" bestFit="1" customWidth="1"/>
    <col min="21" max="21" width="14.375" style="110" bestFit="1" customWidth="1"/>
    <col min="22" max="22" width="14.125" style="111" bestFit="1" customWidth="1"/>
    <col min="23" max="23" width="15.5" style="110" bestFit="1" customWidth="1"/>
    <col min="24" max="24" width="19.375" style="112" bestFit="1" customWidth="1"/>
    <col min="25" max="25" width="9.5" style="112" bestFit="1" customWidth="1"/>
    <col min="26" max="26" width="10.875" style="112" bestFit="1" customWidth="1"/>
    <col min="27" max="27" width="10.875" style="111" bestFit="1" customWidth="1"/>
    <col min="28" max="28" width="12.5" style="111" bestFit="1" customWidth="1"/>
    <col min="29" max="29" width="12.875" style="111" bestFit="1" customWidth="1"/>
    <col min="30" max="30" width="15.75" style="110" bestFit="1" customWidth="1"/>
    <col min="31" max="32" width="10.625" style="110"/>
    <col min="33" max="16384" width="10.625" style="111"/>
  </cols>
  <sheetData>
    <row r="1" spans="1:30">
      <c r="A1" s="114" t="s">
        <v>535</v>
      </c>
      <c r="B1" s="114" t="s">
        <v>333</v>
      </c>
      <c r="C1" s="114" t="s">
        <v>524</v>
      </c>
      <c r="D1" s="114" t="s">
        <v>525</v>
      </c>
      <c r="E1" s="114" t="s">
        <v>526</v>
      </c>
      <c r="F1" s="114" t="s">
        <v>527</v>
      </c>
      <c r="G1" s="114" t="s">
        <v>528</v>
      </c>
      <c r="H1" s="114" t="s">
        <v>529</v>
      </c>
      <c r="I1" s="114" t="s">
        <v>530</v>
      </c>
      <c r="J1" s="114" t="s">
        <v>531</v>
      </c>
      <c r="K1" s="114" t="s">
        <v>532</v>
      </c>
      <c r="L1" s="114" t="s">
        <v>533</v>
      </c>
      <c r="M1" s="114" t="s">
        <v>334</v>
      </c>
      <c r="N1" s="114" t="s">
        <v>335</v>
      </c>
      <c r="O1" s="114" t="s">
        <v>336</v>
      </c>
      <c r="P1" s="114" t="s">
        <v>337</v>
      </c>
      <c r="Q1" s="114" t="s">
        <v>501</v>
      </c>
      <c r="R1" s="114" t="s">
        <v>502</v>
      </c>
      <c r="S1" s="114" t="s">
        <v>534</v>
      </c>
      <c r="T1" s="114" t="s">
        <v>611</v>
      </c>
      <c r="U1" s="114" t="s">
        <v>488</v>
      </c>
      <c r="V1" s="115" t="s">
        <v>489</v>
      </c>
      <c r="W1" s="114" t="s">
        <v>491</v>
      </c>
      <c r="X1" s="116" t="s">
        <v>602</v>
      </c>
      <c r="Y1" s="116" t="s">
        <v>492</v>
      </c>
      <c r="Z1" s="116" t="s">
        <v>493</v>
      </c>
      <c r="AA1" s="115" t="s">
        <v>503</v>
      </c>
      <c r="AB1" s="115" t="s">
        <v>504</v>
      </c>
      <c r="AC1" s="115" t="s">
        <v>522</v>
      </c>
      <c r="AD1" s="114" t="s">
        <v>490</v>
      </c>
    </row>
    <row r="2" spans="1:30">
      <c r="A2" s="113" t="s">
        <v>1531</v>
      </c>
      <c r="B2" s="113" t="s">
        <v>1440</v>
      </c>
      <c r="C2" s="113" t="s">
        <v>495</v>
      </c>
      <c r="D2" s="113" t="s">
        <v>541</v>
      </c>
      <c r="E2" s="113" t="s">
        <v>1440</v>
      </c>
      <c r="M2" s="113" t="s">
        <v>1452</v>
      </c>
      <c r="N2" s="113" t="s">
        <v>1442</v>
      </c>
      <c r="O2" s="109">
        <v>44701</v>
      </c>
      <c r="P2" s="109">
        <v>44702</v>
      </c>
      <c r="Q2" s="109">
        <v>44701</v>
      </c>
      <c r="R2" s="109">
        <v>44702</v>
      </c>
      <c r="S2" s="110">
        <v>21</v>
      </c>
      <c r="T2" s="110">
        <v>1</v>
      </c>
      <c r="U2" s="110">
        <v>1</v>
      </c>
      <c r="V2" s="111">
        <v>1</v>
      </c>
      <c r="W2" s="110">
        <v>0</v>
      </c>
      <c r="X2" s="112">
        <v>1</v>
      </c>
      <c r="Y2" s="112">
        <v>1</v>
      </c>
      <c r="Z2" s="112">
        <v>1</v>
      </c>
      <c r="AC2" s="111">
        <v>1</v>
      </c>
    </row>
    <row r="3" spans="1:30">
      <c r="A3" s="113" t="s">
        <v>1531</v>
      </c>
      <c r="B3" s="113" t="s">
        <v>1440</v>
      </c>
      <c r="C3" s="113" t="s">
        <v>495</v>
      </c>
      <c r="D3" s="113" t="s">
        <v>541</v>
      </c>
      <c r="E3" s="113" t="s">
        <v>1440</v>
      </c>
      <c r="M3" s="113" t="s">
        <v>1452</v>
      </c>
      <c r="N3" s="113" t="s">
        <v>1532</v>
      </c>
      <c r="O3" s="109">
        <v>44701</v>
      </c>
      <c r="P3" s="109">
        <v>44702</v>
      </c>
      <c r="Q3" s="109">
        <v>44701</v>
      </c>
      <c r="R3" s="109">
        <v>44702</v>
      </c>
      <c r="S3" s="110">
        <v>21</v>
      </c>
      <c r="T3" s="110">
        <v>1</v>
      </c>
      <c r="U3" s="110">
        <v>1</v>
      </c>
      <c r="V3" s="111">
        <v>1</v>
      </c>
      <c r="W3" s="110">
        <v>0</v>
      </c>
      <c r="X3" s="112">
        <v>1</v>
      </c>
      <c r="Y3" s="112">
        <v>1</v>
      </c>
      <c r="Z3" s="112">
        <v>1</v>
      </c>
      <c r="AC3" s="111">
        <v>1</v>
      </c>
    </row>
    <row r="4" spans="1:30">
      <c r="A4" s="113" t="s">
        <v>1533</v>
      </c>
      <c r="B4" s="113" t="s">
        <v>1458</v>
      </c>
      <c r="C4" s="113" t="s">
        <v>495</v>
      </c>
      <c r="D4" s="113" t="s">
        <v>541</v>
      </c>
      <c r="E4" s="113" t="s">
        <v>1441</v>
      </c>
      <c r="F4" s="113" t="s">
        <v>1458</v>
      </c>
      <c r="M4" s="113" t="s">
        <v>1459</v>
      </c>
      <c r="N4" s="113" t="s">
        <v>1442</v>
      </c>
      <c r="O4" s="109">
        <v>44705</v>
      </c>
      <c r="P4" s="109">
        <v>44711</v>
      </c>
      <c r="Q4" s="109">
        <v>44703</v>
      </c>
      <c r="R4" s="109">
        <v>44709</v>
      </c>
      <c r="S4" s="110">
        <v>22</v>
      </c>
      <c r="T4" s="110">
        <v>2</v>
      </c>
      <c r="U4" s="110">
        <v>4</v>
      </c>
      <c r="V4" s="111">
        <v>4</v>
      </c>
      <c r="W4" s="110">
        <v>0</v>
      </c>
      <c r="X4" s="112">
        <v>1</v>
      </c>
      <c r="Y4" s="112">
        <v>1</v>
      </c>
      <c r="Z4" s="112">
        <v>1</v>
      </c>
      <c r="AC4" s="111">
        <v>4</v>
      </c>
    </row>
    <row r="5" spans="1:30">
      <c r="A5" s="113" t="s">
        <v>1533</v>
      </c>
      <c r="B5" s="113" t="s">
        <v>1458</v>
      </c>
      <c r="C5" s="113" t="s">
        <v>495</v>
      </c>
      <c r="D5" s="113" t="s">
        <v>541</v>
      </c>
      <c r="E5" s="113" t="s">
        <v>1441</v>
      </c>
      <c r="F5" s="113" t="s">
        <v>1458</v>
      </c>
      <c r="M5" s="113" t="s">
        <v>1459</v>
      </c>
      <c r="N5" s="113" t="s">
        <v>1442</v>
      </c>
      <c r="O5" s="109">
        <v>44705</v>
      </c>
      <c r="P5" s="109">
        <v>44711</v>
      </c>
      <c r="Q5" s="109">
        <v>44710</v>
      </c>
      <c r="R5" s="109">
        <v>44716</v>
      </c>
      <c r="S5" s="110">
        <v>23</v>
      </c>
      <c r="T5" s="110">
        <v>3</v>
      </c>
      <c r="U5" s="110">
        <v>1</v>
      </c>
      <c r="V5" s="111">
        <v>1</v>
      </c>
      <c r="W5" s="110">
        <v>0</v>
      </c>
      <c r="X5" s="112">
        <v>1</v>
      </c>
      <c r="Y5" s="112">
        <v>1</v>
      </c>
      <c r="Z5" s="112">
        <v>1</v>
      </c>
      <c r="AC5" s="111">
        <v>1</v>
      </c>
    </row>
    <row r="6" spans="1:30">
      <c r="A6" s="113" t="s">
        <v>1533</v>
      </c>
      <c r="B6" s="113" t="s">
        <v>1460</v>
      </c>
      <c r="C6" s="113" t="s">
        <v>495</v>
      </c>
      <c r="D6" s="113" t="s">
        <v>541</v>
      </c>
      <c r="E6" s="113" t="s">
        <v>1441</v>
      </c>
      <c r="F6" s="113" t="s">
        <v>1460</v>
      </c>
      <c r="M6" s="113" t="s">
        <v>1461</v>
      </c>
      <c r="N6" s="113" t="s">
        <v>1442</v>
      </c>
      <c r="O6" s="109">
        <v>44712</v>
      </c>
      <c r="P6" s="109">
        <v>44712</v>
      </c>
      <c r="Q6" s="109">
        <v>44710</v>
      </c>
      <c r="R6" s="109">
        <v>44716</v>
      </c>
      <c r="S6" s="110">
        <v>23</v>
      </c>
      <c r="T6" s="110">
        <v>3</v>
      </c>
      <c r="U6" s="110">
        <v>0</v>
      </c>
      <c r="V6" s="111">
        <v>0</v>
      </c>
      <c r="W6" s="110">
        <v>0</v>
      </c>
      <c r="X6" s="112">
        <v>0</v>
      </c>
      <c r="Y6" s="112">
        <v>1</v>
      </c>
      <c r="Z6" s="112">
        <v>1</v>
      </c>
      <c r="AC6" s="111">
        <v>0</v>
      </c>
    </row>
    <row r="7" spans="1:30">
      <c r="A7" s="113" t="s">
        <v>1531</v>
      </c>
      <c r="B7" s="113" t="s">
        <v>1444</v>
      </c>
      <c r="C7" s="113" t="s">
        <v>495</v>
      </c>
      <c r="D7" s="113" t="s">
        <v>1449</v>
      </c>
      <c r="E7" s="113" t="s">
        <v>1444</v>
      </c>
      <c r="M7" s="113" t="s">
        <v>1462</v>
      </c>
      <c r="N7" s="113" t="s">
        <v>1534</v>
      </c>
      <c r="O7" s="109">
        <v>44726</v>
      </c>
      <c r="P7" s="109">
        <v>44730</v>
      </c>
      <c r="Q7" s="109">
        <v>44724</v>
      </c>
      <c r="R7" s="109">
        <v>44730</v>
      </c>
      <c r="S7" s="110">
        <v>25</v>
      </c>
      <c r="T7" s="110">
        <v>5</v>
      </c>
      <c r="U7" s="110">
        <v>0.8</v>
      </c>
      <c r="V7" s="111">
        <v>0</v>
      </c>
      <c r="W7" s="110">
        <v>0</v>
      </c>
      <c r="X7" s="112">
        <v>0.2</v>
      </c>
      <c r="Y7" s="112">
        <v>0</v>
      </c>
      <c r="Z7" s="112">
        <v>0</v>
      </c>
      <c r="AC7" s="111">
        <v>0</v>
      </c>
    </row>
    <row r="8" spans="1:30">
      <c r="A8" s="113" t="s">
        <v>1531</v>
      </c>
      <c r="B8" s="113" t="s">
        <v>1444</v>
      </c>
      <c r="C8" s="113" t="s">
        <v>495</v>
      </c>
      <c r="D8" s="113" t="s">
        <v>1449</v>
      </c>
      <c r="E8" s="113" t="s">
        <v>1444</v>
      </c>
      <c r="M8" s="113" t="s">
        <v>1462</v>
      </c>
      <c r="N8" s="113" t="s">
        <v>1534</v>
      </c>
      <c r="O8" s="109">
        <v>44726</v>
      </c>
      <c r="P8" s="109">
        <v>44730</v>
      </c>
      <c r="Q8" s="109">
        <v>44731</v>
      </c>
      <c r="R8" s="109">
        <v>44737</v>
      </c>
      <c r="S8" s="110">
        <v>26</v>
      </c>
      <c r="T8" s="110">
        <v>6</v>
      </c>
      <c r="U8" s="110">
        <v>0</v>
      </c>
      <c r="V8" s="111">
        <v>0</v>
      </c>
      <c r="W8" s="110">
        <v>0</v>
      </c>
      <c r="X8" s="112">
        <v>0.2</v>
      </c>
      <c r="Y8" s="112">
        <v>0</v>
      </c>
      <c r="Z8" s="112">
        <v>0</v>
      </c>
      <c r="AC8" s="111">
        <v>0</v>
      </c>
    </row>
    <row r="9" spans="1:30">
      <c r="A9" s="113" t="s">
        <v>1531</v>
      </c>
      <c r="B9" s="113" t="s">
        <v>1445</v>
      </c>
      <c r="C9" s="113" t="s">
        <v>495</v>
      </c>
      <c r="D9" s="113" t="s">
        <v>1449</v>
      </c>
      <c r="E9" s="113" t="s">
        <v>1445</v>
      </c>
      <c r="M9" s="113" t="s">
        <v>1463</v>
      </c>
      <c r="N9" s="113" t="s">
        <v>1534</v>
      </c>
      <c r="O9" s="109">
        <v>44758</v>
      </c>
      <c r="P9" s="109">
        <v>44758</v>
      </c>
      <c r="Q9" s="109">
        <v>44752</v>
      </c>
      <c r="R9" s="109">
        <v>44758</v>
      </c>
      <c r="S9" s="110">
        <v>29</v>
      </c>
      <c r="T9" s="110">
        <v>9</v>
      </c>
      <c r="U9" s="110">
        <v>0</v>
      </c>
      <c r="V9" s="111">
        <v>0</v>
      </c>
      <c r="W9" s="110">
        <v>0</v>
      </c>
      <c r="X9" s="112">
        <v>0.2</v>
      </c>
      <c r="Y9" s="112">
        <v>0</v>
      </c>
      <c r="Z9" s="112">
        <v>0</v>
      </c>
      <c r="AC9" s="111">
        <v>0</v>
      </c>
    </row>
    <row r="10" spans="1:30">
      <c r="A10" s="113" t="s">
        <v>1531</v>
      </c>
      <c r="B10" s="113" t="s">
        <v>1464</v>
      </c>
      <c r="C10" s="113" t="s">
        <v>495</v>
      </c>
      <c r="D10" s="113" t="s">
        <v>1449</v>
      </c>
      <c r="E10" s="113" t="s">
        <v>1464</v>
      </c>
      <c r="M10" s="113" t="s">
        <v>1465</v>
      </c>
      <c r="N10" s="113" t="s">
        <v>1534</v>
      </c>
      <c r="O10" s="109">
        <v>44794</v>
      </c>
      <c r="P10" s="109">
        <v>44819</v>
      </c>
      <c r="Q10" s="109">
        <v>44794</v>
      </c>
      <c r="R10" s="109">
        <v>44800</v>
      </c>
      <c r="S10" s="110">
        <v>35</v>
      </c>
      <c r="T10" s="110">
        <v>15</v>
      </c>
      <c r="U10" s="110">
        <v>1</v>
      </c>
      <c r="V10" s="111">
        <v>0</v>
      </c>
      <c r="W10" s="110">
        <v>0</v>
      </c>
      <c r="X10" s="112">
        <v>0.2</v>
      </c>
      <c r="Y10" s="112">
        <v>0</v>
      </c>
      <c r="Z10" s="112">
        <v>0</v>
      </c>
      <c r="AC10" s="111">
        <v>0</v>
      </c>
    </row>
    <row r="11" spans="1:30">
      <c r="A11" s="113" t="s">
        <v>1531</v>
      </c>
      <c r="B11" s="113" t="s">
        <v>1464</v>
      </c>
      <c r="C11" s="113" t="s">
        <v>495</v>
      </c>
      <c r="D11" s="113" t="s">
        <v>1449</v>
      </c>
      <c r="E11" s="113" t="s">
        <v>1464</v>
      </c>
      <c r="M11" s="113" t="s">
        <v>1465</v>
      </c>
      <c r="N11" s="113" t="s">
        <v>1534</v>
      </c>
      <c r="O11" s="109">
        <v>44794</v>
      </c>
      <c r="P11" s="109">
        <v>44819</v>
      </c>
      <c r="Q11" s="109">
        <v>44801</v>
      </c>
      <c r="R11" s="109">
        <v>44807</v>
      </c>
      <c r="S11" s="110">
        <v>36</v>
      </c>
      <c r="T11" s="110">
        <v>16</v>
      </c>
      <c r="U11" s="110">
        <v>1</v>
      </c>
      <c r="V11" s="111">
        <v>0</v>
      </c>
      <c r="W11" s="110">
        <v>0</v>
      </c>
      <c r="X11" s="112">
        <v>0.2</v>
      </c>
      <c r="Y11" s="112">
        <v>0</v>
      </c>
      <c r="Z11" s="112">
        <v>0</v>
      </c>
      <c r="AC11" s="111">
        <v>0</v>
      </c>
    </row>
    <row r="12" spans="1:30">
      <c r="A12" s="113" t="s">
        <v>1531</v>
      </c>
      <c r="B12" s="113" t="s">
        <v>1464</v>
      </c>
      <c r="C12" s="113" t="s">
        <v>495</v>
      </c>
      <c r="D12" s="113" t="s">
        <v>1449</v>
      </c>
      <c r="E12" s="113" t="s">
        <v>1464</v>
      </c>
      <c r="M12" s="113" t="s">
        <v>1465</v>
      </c>
      <c r="N12" s="113" t="s">
        <v>1534</v>
      </c>
      <c r="O12" s="109">
        <v>44794</v>
      </c>
      <c r="P12" s="109">
        <v>44819</v>
      </c>
      <c r="Q12" s="109">
        <v>44808</v>
      </c>
      <c r="R12" s="109">
        <v>44814</v>
      </c>
      <c r="S12" s="110">
        <v>37</v>
      </c>
      <c r="T12" s="110">
        <v>17</v>
      </c>
      <c r="U12" s="110">
        <v>0.8</v>
      </c>
      <c r="V12" s="111">
        <v>0</v>
      </c>
      <c r="W12" s="110">
        <v>0</v>
      </c>
      <c r="X12" s="112">
        <v>0.2</v>
      </c>
      <c r="Y12" s="112">
        <v>0</v>
      </c>
      <c r="Z12" s="112">
        <v>0</v>
      </c>
      <c r="AC12" s="111">
        <v>0</v>
      </c>
    </row>
    <row r="13" spans="1:30">
      <c r="A13" s="113" t="s">
        <v>1531</v>
      </c>
      <c r="B13" s="113" t="s">
        <v>1464</v>
      </c>
      <c r="C13" s="113" t="s">
        <v>495</v>
      </c>
      <c r="D13" s="113" t="s">
        <v>1449</v>
      </c>
      <c r="E13" s="113" t="s">
        <v>1464</v>
      </c>
      <c r="M13" s="113" t="s">
        <v>1465</v>
      </c>
      <c r="N13" s="113" t="s">
        <v>1534</v>
      </c>
      <c r="O13" s="109">
        <v>44794</v>
      </c>
      <c r="P13" s="109">
        <v>44819</v>
      </c>
      <c r="Q13" s="109">
        <v>44815</v>
      </c>
      <c r="R13" s="109">
        <v>44821</v>
      </c>
      <c r="S13" s="110">
        <v>38</v>
      </c>
      <c r="T13" s="110">
        <v>18</v>
      </c>
      <c r="U13" s="110">
        <v>0.60000000000000009</v>
      </c>
      <c r="V13" s="111">
        <v>0</v>
      </c>
      <c r="W13" s="110">
        <v>0</v>
      </c>
      <c r="X13" s="112">
        <v>0.2</v>
      </c>
      <c r="Y13" s="112">
        <v>0</v>
      </c>
      <c r="Z13" s="112">
        <v>0</v>
      </c>
      <c r="AC13" s="111">
        <v>0</v>
      </c>
    </row>
    <row r="14" spans="1:30">
      <c r="A14" s="113" t="s">
        <v>1531</v>
      </c>
      <c r="B14" s="113" t="s">
        <v>1466</v>
      </c>
      <c r="C14" s="113" t="s">
        <v>495</v>
      </c>
      <c r="D14" s="113" t="s">
        <v>1449</v>
      </c>
      <c r="E14" s="113" t="s">
        <v>1466</v>
      </c>
      <c r="M14" s="113" t="s">
        <v>1467</v>
      </c>
      <c r="N14" s="113" t="s">
        <v>1430</v>
      </c>
      <c r="O14" s="109">
        <v>44723</v>
      </c>
      <c r="P14" s="109">
        <v>44723</v>
      </c>
      <c r="Q14" s="109">
        <v>44717</v>
      </c>
      <c r="R14" s="109">
        <v>44723</v>
      </c>
      <c r="S14" s="110">
        <v>24</v>
      </c>
      <c r="T14" s="110">
        <v>4</v>
      </c>
      <c r="U14" s="110">
        <v>0</v>
      </c>
      <c r="V14" s="111">
        <v>0</v>
      </c>
      <c r="W14" s="110">
        <v>0</v>
      </c>
      <c r="X14" s="112">
        <v>1</v>
      </c>
      <c r="Y14" s="112">
        <v>0</v>
      </c>
      <c r="Z14" s="112">
        <v>0</v>
      </c>
      <c r="AC14" s="111">
        <v>0</v>
      </c>
    </row>
    <row r="15" spans="1:30">
      <c r="A15" s="113" t="s">
        <v>1531</v>
      </c>
      <c r="B15" s="113" t="s">
        <v>1446</v>
      </c>
      <c r="C15" s="113" t="s">
        <v>495</v>
      </c>
      <c r="D15" s="113" t="s">
        <v>1450</v>
      </c>
      <c r="E15" s="113" t="s">
        <v>1446</v>
      </c>
      <c r="M15" s="113" t="s">
        <v>1468</v>
      </c>
      <c r="N15" s="113" t="s">
        <v>1532</v>
      </c>
      <c r="O15" s="109">
        <v>44827</v>
      </c>
      <c r="P15" s="109">
        <v>44831</v>
      </c>
      <c r="Q15" s="109">
        <v>44822</v>
      </c>
      <c r="R15" s="109">
        <v>44828</v>
      </c>
      <c r="S15" s="110">
        <v>39</v>
      </c>
      <c r="T15" s="110">
        <v>19</v>
      </c>
      <c r="U15" s="110">
        <v>1</v>
      </c>
      <c r="V15" s="111">
        <v>0</v>
      </c>
      <c r="W15" s="110">
        <v>0</v>
      </c>
      <c r="X15" s="112">
        <v>1</v>
      </c>
      <c r="Y15" s="112">
        <v>0</v>
      </c>
      <c r="Z15" s="112">
        <v>0</v>
      </c>
      <c r="AC15" s="111">
        <v>0</v>
      </c>
    </row>
    <row r="16" spans="1:30">
      <c r="A16" s="113" t="s">
        <v>1531</v>
      </c>
      <c r="B16" s="113" t="s">
        <v>1446</v>
      </c>
      <c r="C16" s="113" t="s">
        <v>495</v>
      </c>
      <c r="D16" s="113" t="s">
        <v>1450</v>
      </c>
      <c r="E16" s="113" t="s">
        <v>1446</v>
      </c>
      <c r="M16" s="113" t="s">
        <v>1468</v>
      </c>
      <c r="N16" s="113" t="s">
        <v>1442</v>
      </c>
      <c r="O16" s="109">
        <v>44827</v>
      </c>
      <c r="P16" s="109">
        <v>44831</v>
      </c>
      <c r="Q16" s="109">
        <v>44822</v>
      </c>
      <c r="R16" s="109">
        <v>44828</v>
      </c>
      <c r="S16" s="110">
        <v>39</v>
      </c>
      <c r="T16" s="110">
        <v>19</v>
      </c>
      <c r="U16" s="110">
        <v>1</v>
      </c>
      <c r="V16" s="111">
        <v>0</v>
      </c>
      <c r="W16" s="110">
        <v>0</v>
      </c>
      <c r="X16" s="112">
        <v>1</v>
      </c>
      <c r="Y16" s="112">
        <v>0</v>
      </c>
      <c r="Z16" s="112">
        <v>0</v>
      </c>
      <c r="AC16" s="111">
        <v>0</v>
      </c>
    </row>
    <row r="17" spans="1:29">
      <c r="A17" s="113" t="s">
        <v>1531</v>
      </c>
      <c r="B17" s="113" t="s">
        <v>1446</v>
      </c>
      <c r="C17" s="113" t="s">
        <v>495</v>
      </c>
      <c r="D17" s="113" t="s">
        <v>1450</v>
      </c>
      <c r="E17" s="113" t="s">
        <v>1446</v>
      </c>
      <c r="M17" s="113" t="s">
        <v>1468</v>
      </c>
      <c r="N17" s="113" t="s">
        <v>1532</v>
      </c>
      <c r="O17" s="109">
        <v>44827</v>
      </c>
      <c r="P17" s="109">
        <v>44831</v>
      </c>
      <c r="Q17" s="109">
        <v>44829</v>
      </c>
      <c r="R17" s="109">
        <v>44835</v>
      </c>
      <c r="S17" s="110">
        <v>40</v>
      </c>
      <c r="T17" s="110">
        <v>20</v>
      </c>
      <c r="U17" s="110">
        <v>2</v>
      </c>
      <c r="V17" s="111">
        <v>0</v>
      </c>
      <c r="W17" s="110">
        <v>0</v>
      </c>
      <c r="X17" s="112">
        <v>1</v>
      </c>
      <c r="Y17" s="112">
        <v>0</v>
      </c>
      <c r="Z17" s="112">
        <v>0</v>
      </c>
      <c r="AC17" s="111">
        <v>0</v>
      </c>
    </row>
    <row r="18" spans="1:29">
      <c r="A18" s="113" t="s">
        <v>1531</v>
      </c>
      <c r="B18" s="113" t="s">
        <v>1446</v>
      </c>
      <c r="C18" s="113" t="s">
        <v>495</v>
      </c>
      <c r="D18" s="113" t="s">
        <v>1450</v>
      </c>
      <c r="E18" s="113" t="s">
        <v>1446</v>
      </c>
      <c r="M18" s="113" t="s">
        <v>1468</v>
      </c>
      <c r="N18" s="113" t="s">
        <v>1442</v>
      </c>
      <c r="O18" s="109">
        <v>44827</v>
      </c>
      <c r="P18" s="109">
        <v>44831</v>
      </c>
      <c r="Q18" s="109">
        <v>44829</v>
      </c>
      <c r="R18" s="109">
        <v>44835</v>
      </c>
      <c r="S18" s="110">
        <v>40</v>
      </c>
      <c r="T18" s="110">
        <v>20</v>
      </c>
      <c r="U18" s="110">
        <v>2</v>
      </c>
      <c r="V18" s="111">
        <v>0</v>
      </c>
      <c r="W18" s="110">
        <v>0</v>
      </c>
      <c r="X18" s="112">
        <v>1</v>
      </c>
      <c r="Y18" s="112">
        <v>0</v>
      </c>
      <c r="Z18" s="112">
        <v>0</v>
      </c>
      <c r="AC18" s="111">
        <v>0</v>
      </c>
    </row>
    <row r="19" spans="1:29">
      <c r="A19" s="113" t="s">
        <v>1531</v>
      </c>
      <c r="B19" s="113" t="s">
        <v>1447</v>
      </c>
      <c r="C19" s="113" t="s">
        <v>495</v>
      </c>
      <c r="D19" s="113" t="s">
        <v>1450</v>
      </c>
      <c r="E19" s="113" t="s">
        <v>1447</v>
      </c>
      <c r="M19" s="113" t="s">
        <v>1469</v>
      </c>
      <c r="N19" s="113" t="s">
        <v>1448</v>
      </c>
      <c r="O19" s="109">
        <v>44832</v>
      </c>
      <c r="P19" s="109">
        <v>44839</v>
      </c>
      <c r="Q19" s="109">
        <v>44829</v>
      </c>
      <c r="R19" s="109">
        <v>44835</v>
      </c>
      <c r="S19" s="110">
        <v>40</v>
      </c>
      <c r="T19" s="110">
        <v>20</v>
      </c>
      <c r="U19" s="110">
        <v>3</v>
      </c>
      <c r="V19" s="111">
        <v>0</v>
      </c>
      <c r="W19" s="110">
        <v>0</v>
      </c>
      <c r="X19" s="112">
        <v>1</v>
      </c>
      <c r="Y19" s="112">
        <v>0</v>
      </c>
      <c r="Z19" s="112">
        <v>0</v>
      </c>
      <c r="AC19" s="111">
        <v>0</v>
      </c>
    </row>
    <row r="20" spans="1:29">
      <c r="A20" s="113" t="s">
        <v>1531</v>
      </c>
      <c r="B20" s="113" t="s">
        <v>1447</v>
      </c>
      <c r="C20" s="113" t="s">
        <v>495</v>
      </c>
      <c r="D20" s="113" t="s">
        <v>1450</v>
      </c>
      <c r="E20" s="113" t="s">
        <v>1447</v>
      </c>
      <c r="M20" s="113" t="s">
        <v>1469</v>
      </c>
      <c r="N20" s="113" t="s">
        <v>1448</v>
      </c>
      <c r="O20" s="109">
        <v>44832</v>
      </c>
      <c r="P20" s="109">
        <v>44839</v>
      </c>
      <c r="Q20" s="109">
        <v>44836</v>
      </c>
      <c r="R20" s="109">
        <v>44842</v>
      </c>
      <c r="S20" s="110">
        <v>41</v>
      </c>
      <c r="T20" s="110">
        <v>21</v>
      </c>
      <c r="U20" s="110">
        <v>2</v>
      </c>
      <c r="V20" s="111">
        <v>0</v>
      </c>
      <c r="W20" s="110">
        <v>0</v>
      </c>
      <c r="X20" s="112">
        <v>1</v>
      </c>
      <c r="Y20" s="112">
        <v>0</v>
      </c>
      <c r="Z20" s="112">
        <v>0</v>
      </c>
      <c r="AC20" s="111">
        <v>0</v>
      </c>
    </row>
    <row r="21" spans="1:29">
      <c r="A21" s="113" t="s">
        <v>1531</v>
      </c>
      <c r="B21" s="113" t="s">
        <v>1470</v>
      </c>
      <c r="C21" s="113" t="s">
        <v>495</v>
      </c>
      <c r="D21" s="113" t="s">
        <v>1450</v>
      </c>
      <c r="E21" s="113" t="s">
        <v>1470</v>
      </c>
      <c r="M21" s="113" t="s">
        <v>1471</v>
      </c>
      <c r="N21" s="113" t="s">
        <v>1535</v>
      </c>
      <c r="O21" s="109">
        <v>44852</v>
      </c>
      <c r="P21" s="109">
        <v>44852</v>
      </c>
      <c r="Q21" s="109">
        <v>44850</v>
      </c>
      <c r="R21" s="109">
        <v>44856</v>
      </c>
      <c r="S21" s="110">
        <v>43</v>
      </c>
      <c r="T21" s="110">
        <v>23</v>
      </c>
      <c r="U21" s="110">
        <v>1</v>
      </c>
      <c r="V21" s="111">
        <v>0</v>
      </c>
      <c r="W21" s="110">
        <v>0</v>
      </c>
      <c r="X21" s="112">
        <v>1</v>
      </c>
      <c r="Y21" s="112">
        <v>0</v>
      </c>
      <c r="Z21" s="112">
        <v>0</v>
      </c>
      <c r="AC21" s="111">
        <v>0</v>
      </c>
    </row>
    <row r="22" spans="1:29">
      <c r="A22" s="113" t="s">
        <v>1531</v>
      </c>
      <c r="B22" s="113" t="s">
        <v>1470</v>
      </c>
      <c r="C22" s="113" t="s">
        <v>495</v>
      </c>
      <c r="D22" s="113" t="s">
        <v>1450</v>
      </c>
      <c r="E22" s="113" t="s">
        <v>1470</v>
      </c>
      <c r="M22" s="113" t="s">
        <v>1471</v>
      </c>
      <c r="N22" s="113" t="s">
        <v>1536</v>
      </c>
      <c r="O22" s="109">
        <v>44852</v>
      </c>
      <c r="P22" s="109">
        <v>44852</v>
      </c>
      <c r="Q22" s="109">
        <v>44850</v>
      </c>
      <c r="R22" s="109">
        <v>44856</v>
      </c>
      <c r="S22" s="110">
        <v>43</v>
      </c>
      <c r="T22" s="110">
        <v>23</v>
      </c>
      <c r="U22" s="110">
        <v>1</v>
      </c>
      <c r="V22" s="111">
        <v>0</v>
      </c>
      <c r="W22" s="110">
        <v>0</v>
      </c>
      <c r="X22" s="112">
        <v>1</v>
      </c>
      <c r="Y22" s="112">
        <v>0</v>
      </c>
      <c r="Z22" s="112">
        <v>0</v>
      </c>
      <c r="AC22" s="111">
        <v>0</v>
      </c>
    </row>
    <row r="23" spans="1:29">
      <c r="A23" s="113" t="s">
        <v>1531</v>
      </c>
      <c r="B23" s="113" t="s">
        <v>1472</v>
      </c>
      <c r="C23" s="113" t="s">
        <v>495</v>
      </c>
      <c r="D23" s="113" t="s">
        <v>1450</v>
      </c>
      <c r="E23" s="113" t="s">
        <v>1472</v>
      </c>
      <c r="M23" s="113" t="s">
        <v>1473</v>
      </c>
      <c r="N23" s="113" t="s">
        <v>1430</v>
      </c>
      <c r="O23" s="109">
        <v>44852</v>
      </c>
      <c r="P23" s="109">
        <v>44852</v>
      </c>
      <c r="Q23" s="109">
        <v>44850</v>
      </c>
      <c r="R23" s="109">
        <v>44856</v>
      </c>
      <c r="S23" s="110">
        <v>43</v>
      </c>
      <c r="T23" s="110">
        <v>23</v>
      </c>
      <c r="U23" s="110">
        <v>0</v>
      </c>
      <c r="V23" s="111">
        <v>0</v>
      </c>
      <c r="W23" s="110">
        <v>0</v>
      </c>
      <c r="X23" s="112">
        <v>0</v>
      </c>
      <c r="Y23" s="112">
        <v>0</v>
      </c>
      <c r="Z23" s="112">
        <v>0</v>
      </c>
      <c r="AC23" s="111">
        <v>0</v>
      </c>
    </row>
    <row r="24" spans="1:29">
      <c r="A24" s="113" t="s">
        <v>1531</v>
      </c>
      <c r="B24" s="113" t="s">
        <v>1454</v>
      </c>
      <c r="C24" s="113" t="s">
        <v>776</v>
      </c>
      <c r="D24" s="113" t="s">
        <v>1453</v>
      </c>
      <c r="E24" s="113" t="s">
        <v>1454</v>
      </c>
      <c r="M24" s="113" t="s">
        <v>1474</v>
      </c>
      <c r="N24" s="113" t="s">
        <v>1430</v>
      </c>
      <c r="O24" s="109">
        <v>44705</v>
      </c>
      <c r="P24" s="109">
        <v>44723</v>
      </c>
      <c r="Q24" s="109">
        <v>44703</v>
      </c>
      <c r="R24" s="109">
        <v>44709</v>
      </c>
      <c r="S24" s="110">
        <v>22</v>
      </c>
      <c r="T24" s="110">
        <v>2</v>
      </c>
      <c r="U24" s="110">
        <v>4</v>
      </c>
      <c r="V24" s="111">
        <v>4</v>
      </c>
      <c r="W24" s="110">
        <v>0</v>
      </c>
      <c r="X24" s="112">
        <v>1</v>
      </c>
      <c r="Y24" s="112">
        <v>0.66666666666666663</v>
      </c>
      <c r="Z24" s="112">
        <v>0.7</v>
      </c>
      <c r="AC24" s="111">
        <v>4</v>
      </c>
    </row>
    <row r="25" spans="1:29">
      <c r="A25" s="113" t="s">
        <v>1531</v>
      </c>
      <c r="B25" s="113" t="s">
        <v>1454</v>
      </c>
      <c r="C25" s="113" t="s">
        <v>776</v>
      </c>
      <c r="D25" s="113" t="s">
        <v>1453</v>
      </c>
      <c r="E25" s="113" t="s">
        <v>1454</v>
      </c>
      <c r="M25" s="113" t="s">
        <v>1474</v>
      </c>
      <c r="N25" s="113" t="s">
        <v>1430</v>
      </c>
      <c r="O25" s="109">
        <v>44705</v>
      </c>
      <c r="P25" s="109">
        <v>44723</v>
      </c>
      <c r="Q25" s="109">
        <v>44710</v>
      </c>
      <c r="R25" s="109">
        <v>44716</v>
      </c>
      <c r="S25" s="110">
        <v>23</v>
      </c>
      <c r="T25" s="110">
        <v>3</v>
      </c>
      <c r="U25" s="110">
        <v>4</v>
      </c>
      <c r="V25" s="111">
        <v>4</v>
      </c>
      <c r="W25" s="110">
        <v>0</v>
      </c>
      <c r="X25" s="112">
        <v>1</v>
      </c>
      <c r="Y25" s="112">
        <v>0.66666666666666663</v>
      </c>
      <c r="Z25" s="112">
        <v>0.7</v>
      </c>
      <c r="AC25" s="111">
        <v>4</v>
      </c>
    </row>
    <row r="26" spans="1:29">
      <c r="A26" s="113" t="s">
        <v>1531</v>
      </c>
      <c r="B26" s="113" t="s">
        <v>1454</v>
      </c>
      <c r="C26" s="113" t="s">
        <v>776</v>
      </c>
      <c r="D26" s="113" t="s">
        <v>1453</v>
      </c>
      <c r="E26" s="113" t="s">
        <v>1454</v>
      </c>
      <c r="M26" s="113" t="s">
        <v>1474</v>
      </c>
      <c r="N26" s="113" t="s">
        <v>1430</v>
      </c>
      <c r="O26" s="109">
        <v>44705</v>
      </c>
      <c r="P26" s="109">
        <v>44723</v>
      </c>
      <c r="Q26" s="109">
        <v>44717</v>
      </c>
      <c r="R26" s="109">
        <v>44723</v>
      </c>
      <c r="S26" s="110">
        <v>24</v>
      </c>
      <c r="T26" s="110">
        <v>4</v>
      </c>
      <c r="U26" s="110">
        <v>4</v>
      </c>
      <c r="V26" s="111">
        <v>0</v>
      </c>
      <c r="W26" s="110">
        <v>0</v>
      </c>
      <c r="X26" s="112">
        <v>1</v>
      </c>
      <c r="Y26" s="112">
        <v>0.66666666666666663</v>
      </c>
      <c r="Z26" s="112">
        <v>0.7</v>
      </c>
      <c r="AC26" s="111">
        <v>0.39999999999999858</v>
      </c>
    </row>
    <row r="27" spans="1:29">
      <c r="A27" s="113" t="s">
        <v>1533</v>
      </c>
      <c r="B27" s="113" t="s">
        <v>1456</v>
      </c>
      <c r="C27" s="113" t="s">
        <v>776</v>
      </c>
      <c r="D27" s="113" t="s">
        <v>1453</v>
      </c>
      <c r="E27" s="113" t="s">
        <v>1455</v>
      </c>
      <c r="F27" s="113" t="s">
        <v>1456</v>
      </c>
      <c r="M27" s="113" t="s">
        <v>1475</v>
      </c>
      <c r="N27" s="113" t="s">
        <v>1430</v>
      </c>
      <c r="O27" s="109">
        <v>44711</v>
      </c>
      <c r="P27" s="109">
        <v>44722</v>
      </c>
      <c r="Q27" s="109">
        <v>44710</v>
      </c>
      <c r="R27" s="109">
        <v>44716</v>
      </c>
      <c r="S27" s="110">
        <v>23</v>
      </c>
      <c r="T27" s="110">
        <v>3</v>
      </c>
      <c r="U27" s="110">
        <v>4</v>
      </c>
      <c r="V27" s="111">
        <v>4</v>
      </c>
      <c r="W27" s="110">
        <v>0</v>
      </c>
      <c r="X27" s="112">
        <v>1</v>
      </c>
      <c r="Y27" s="112">
        <v>0.5</v>
      </c>
      <c r="Z27" s="112">
        <v>0.5</v>
      </c>
      <c r="AC27" s="111">
        <v>4</v>
      </c>
    </row>
    <row r="28" spans="1:29">
      <c r="A28" s="113" t="s">
        <v>1533</v>
      </c>
      <c r="B28" s="113" t="s">
        <v>1456</v>
      </c>
      <c r="C28" s="113" t="s">
        <v>776</v>
      </c>
      <c r="D28" s="113" t="s">
        <v>1453</v>
      </c>
      <c r="E28" s="113" t="s">
        <v>1455</v>
      </c>
      <c r="F28" s="113" t="s">
        <v>1456</v>
      </c>
      <c r="M28" s="113" t="s">
        <v>1475</v>
      </c>
      <c r="N28" s="113" t="s">
        <v>1430</v>
      </c>
      <c r="O28" s="109">
        <v>44711</v>
      </c>
      <c r="P28" s="109">
        <v>44722</v>
      </c>
      <c r="Q28" s="109">
        <v>44717</v>
      </c>
      <c r="R28" s="109">
        <v>44723</v>
      </c>
      <c r="S28" s="110">
        <v>24</v>
      </c>
      <c r="T28" s="110">
        <v>4</v>
      </c>
      <c r="U28" s="110">
        <v>4</v>
      </c>
      <c r="V28" s="111">
        <v>0</v>
      </c>
      <c r="W28" s="110">
        <v>0</v>
      </c>
      <c r="X28" s="112">
        <v>1</v>
      </c>
      <c r="Y28" s="112">
        <v>0.5</v>
      </c>
      <c r="Z28" s="112">
        <v>0.5</v>
      </c>
      <c r="AC28" s="111">
        <v>0</v>
      </c>
    </row>
    <row r="29" spans="1:29">
      <c r="A29" s="113" t="s">
        <v>1533</v>
      </c>
      <c r="B29" s="113" t="s">
        <v>1457</v>
      </c>
      <c r="C29" s="113" t="s">
        <v>776</v>
      </c>
      <c r="D29" s="113" t="s">
        <v>1453</v>
      </c>
      <c r="E29" s="113" t="s">
        <v>1455</v>
      </c>
      <c r="F29" s="113" t="s">
        <v>1457</v>
      </c>
      <c r="M29" s="113" t="s">
        <v>1476</v>
      </c>
      <c r="N29" s="113" t="s">
        <v>1537</v>
      </c>
      <c r="O29" s="109">
        <v>44711</v>
      </c>
      <c r="P29" s="109">
        <v>44722</v>
      </c>
      <c r="Q29" s="109">
        <v>44710</v>
      </c>
      <c r="R29" s="109">
        <v>44716</v>
      </c>
      <c r="S29" s="110">
        <v>23</v>
      </c>
      <c r="T29" s="110">
        <v>3</v>
      </c>
      <c r="U29" s="110">
        <v>4.8</v>
      </c>
      <c r="V29" s="111">
        <v>4.8</v>
      </c>
      <c r="W29" s="110">
        <v>0</v>
      </c>
      <c r="X29" s="112">
        <v>1.2</v>
      </c>
      <c r="Y29" s="112">
        <v>0.5</v>
      </c>
      <c r="Z29" s="112">
        <v>0.45</v>
      </c>
      <c r="AC29" s="111">
        <v>4.32</v>
      </c>
    </row>
    <row r="30" spans="1:29">
      <c r="A30" s="113" t="s">
        <v>1533</v>
      </c>
      <c r="B30" s="113" t="s">
        <v>1457</v>
      </c>
      <c r="C30" s="113" t="s">
        <v>776</v>
      </c>
      <c r="D30" s="113" t="s">
        <v>1453</v>
      </c>
      <c r="E30" s="113" t="s">
        <v>1455</v>
      </c>
      <c r="F30" s="113" t="s">
        <v>1457</v>
      </c>
      <c r="M30" s="113" t="s">
        <v>1476</v>
      </c>
      <c r="N30" s="113" t="s">
        <v>1442</v>
      </c>
      <c r="O30" s="109">
        <v>44711</v>
      </c>
      <c r="P30" s="109">
        <v>44722</v>
      </c>
      <c r="Q30" s="109">
        <v>44710</v>
      </c>
      <c r="R30" s="109">
        <v>44716</v>
      </c>
      <c r="S30" s="110">
        <v>23</v>
      </c>
      <c r="T30" s="110">
        <v>3</v>
      </c>
      <c r="U30" s="110">
        <v>2</v>
      </c>
      <c r="V30" s="111">
        <v>2</v>
      </c>
      <c r="W30" s="110">
        <v>0</v>
      </c>
      <c r="X30" s="112">
        <v>0.5</v>
      </c>
      <c r="Y30" s="112">
        <v>0.5</v>
      </c>
      <c r="Z30" s="112">
        <v>0.45</v>
      </c>
      <c r="AC30" s="111">
        <v>1.8</v>
      </c>
    </row>
    <row r="31" spans="1:29">
      <c r="A31" s="113" t="s">
        <v>1533</v>
      </c>
      <c r="B31" s="113" t="s">
        <v>1457</v>
      </c>
      <c r="C31" s="113" t="s">
        <v>776</v>
      </c>
      <c r="D31" s="113" t="s">
        <v>1453</v>
      </c>
      <c r="E31" s="113" t="s">
        <v>1455</v>
      </c>
      <c r="F31" s="113" t="s">
        <v>1457</v>
      </c>
      <c r="M31" s="113" t="s">
        <v>1476</v>
      </c>
      <c r="N31" s="113" t="s">
        <v>1537</v>
      </c>
      <c r="O31" s="109">
        <v>44711</v>
      </c>
      <c r="P31" s="109">
        <v>44722</v>
      </c>
      <c r="Q31" s="109">
        <v>44717</v>
      </c>
      <c r="R31" s="109">
        <v>44723</v>
      </c>
      <c r="S31" s="110">
        <v>24</v>
      </c>
      <c r="T31" s="110">
        <v>4</v>
      </c>
      <c r="U31" s="110">
        <v>4.8</v>
      </c>
      <c r="V31" s="111">
        <v>0</v>
      </c>
      <c r="W31" s="110">
        <v>0</v>
      </c>
      <c r="X31" s="112">
        <v>1.2</v>
      </c>
      <c r="Y31" s="112">
        <v>0.5</v>
      </c>
      <c r="Z31" s="112">
        <v>0.45</v>
      </c>
      <c r="AC31" s="111">
        <v>0</v>
      </c>
    </row>
    <row r="32" spans="1:29">
      <c r="A32" s="113" t="s">
        <v>1533</v>
      </c>
      <c r="B32" s="113" t="s">
        <v>1457</v>
      </c>
      <c r="C32" s="113" t="s">
        <v>776</v>
      </c>
      <c r="D32" s="113" t="s">
        <v>1453</v>
      </c>
      <c r="E32" s="113" t="s">
        <v>1455</v>
      </c>
      <c r="F32" s="113" t="s">
        <v>1457</v>
      </c>
      <c r="M32" s="113" t="s">
        <v>1476</v>
      </c>
      <c r="N32" s="113" t="s">
        <v>1442</v>
      </c>
      <c r="O32" s="109">
        <v>44711</v>
      </c>
      <c r="P32" s="109">
        <v>44722</v>
      </c>
      <c r="Q32" s="109">
        <v>44717</v>
      </c>
      <c r="R32" s="109">
        <v>44723</v>
      </c>
      <c r="S32" s="110">
        <v>24</v>
      </c>
      <c r="T32" s="110">
        <v>4</v>
      </c>
      <c r="U32" s="110">
        <v>2</v>
      </c>
      <c r="V32" s="111">
        <v>0</v>
      </c>
      <c r="W32" s="110">
        <v>0</v>
      </c>
      <c r="X32" s="112">
        <v>0.5</v>
      </c>
      <c r="Y32" s="112">
        <v>0.5</v>
      </c>
      <c r="Z32" s="112">
        <v>0.45</v>
      </c>
      <c r="AC32" s="111">
        <v>0</v>
      </c>
    </row>
    <row r="33" spans="1:29">
      <c r="A33" s="113" t="s">
        <v>1531</v>
      </c>
      <c r="B33" s="113" t="s">
        <v>1477</v>
      </c>
      <c r="C33" s="113" t="s">
        <v>776</v>
      </c>
      <c r="D33" s="113" t="s">
        <v>1523</v>
      </c>
      <c r="E33" s="113" t="s">
        <v>1477</v>
      </c>
      <c r="M33" s="113" t="s">
        <v>1478</v>
      </c>
      <c r="N33" s="113" t="s">
        <v>1430</v>
      </c>
      <c r="O33" s="109">
        <v>44725</v>
      </c>
      <c r="P33" s="109">
        <v>44743</v>
      </c>
      <c r="Q33" s="109">
        <v>44724</v>
      </c>
      <c r="R33" s="109">
        <v>44730</v>
      </c>
      <c r="S33" s="110">
        <v>25</v>
      </c>
      <c r="T33" s="110">
        <v>5</v>
      </c>
      <c r="U33" s="110">
        <v>5</v>
      </c>
      <c r="V33" s="111">
        <v>0</v>
      </c>
      <c r="W33" s="110">
        <v>0</v>
      </c>
      <c r="X33" s="112">
        <v>1</v>
      </c>
      <c r="Y33" s="112">
        <v>0</v>
      </c>
      <c r="Z33" s="112">
        <v>0</v>
      </c>
      <c r="AC33" s="111">
        <v>0</v>
      </c>
    </row>
    <row r="34" spans="1:29">
      <c r="A34" s="113" t="s">
        <v>1531</v>
      </c>
      <c r="B34" s="113" t="s">
        <v>1477</v>
      </c>
      <c r="C34" s="113" t="s">
        <v>776</v>
      </c>
      <c r="D34" s="113" t="s">
        <v>1523</v>
      </c>
      <c r="E34" s="113" t="s">
        <v>1477</v>
      </c>
      <c r="M34" s="113" t="s">
        <v>1478</v>
      </c>
      <c r="N34" s="113" t="s">
        <v>1430</v>
      </c>
      <c r="O34" s="109">
        <v>44725</v>
      </c>
      <c r="P34" s="109">
        <v>44743</v>
      </c>
      <c r="Q34" s="109">
        <v>44731</v>
      </c>
      <c r="R34" s="109">
        <v>44737</v>
      </c>
      <c r="S34" s="110">
        <v>26</v>
      </c>
      <c r="T34" s="110">
        <v>6</v>
      </c>
      <c r="U34" s="110">
        <v>5</v>
      </c>
      <c r="V34" s="111">
        <v>0</v>
      </c>
      <c r="W34" s="110">
        <v>0</v>
      </c>
      <c r="X34" s="112">
        <v>1</v>
      </c>
      <c r="Y34" s="112">
        <v>0</v>
      </c>
      <c r="Z34" s="112">
        <v>0</v>
      </c>
      <c r="AC34" s="111">
        <v>0</v>
      </c>
    </row>
    <row r="35" spans="1:29">
      <c r="A35" s="113" t="s">
        <v>1531</v>
      </c>
      <c r="B35" s="113" t="s">
        <v>1477</v>
      </c>
      <c r="C35" s="113" t="s">
        <v>776</v>
      </c>
      <c r="D35" s="113" t="s">
        <v>1523</v>
      </c>
      <c r="E35" s="113" t="s">
        <v>1477</v>
      </c>
      <c r="M35" s="113" t="s">
        <v>1478</v>
      </c>
      <c r="N35" s="113" t="s">
        <v>1430</v>
      </c>
      <c r="O35" s="109">
        <v>44725</v>
      </c>
      <c r="P35" s="109">
        <v>44743</v>
      </c>
      <c r="Q35" s="109">
        <v>44738</v>
      </c>
      <c r="R35" s="109">
        <v>44744</v>
      </c>
      <c r="S35" s="110">
        <v>27</v>
      </c>
      <c r="T35" s="110">
        <v>7</v>
      </c>
      <c r="U35" s="110">
        <v>5</v>
      </c>
      <c r="V35" s="111">
        <v>0</v>
      </c>
      <c r="W35" s="110">
        <v>0</v>
      </c>
      <c r="X35" s="112">
        <v>1</v>
      </c>
      <c r="Y35" s="112">
        <v>0</v>
      </c>
      <c r="Z35" s="112">
        <v>0</v>
      </c>
      <c r="AC35" s="111">
        <v>0</v>
      </c>
    </row>
    <row r="36" spans="1:29">
      <c r="A36" s="113" t="s">
        <v>1533</v>
      </c>
      <c r="B36" s="113" t="s">
        <v>1481</v>
      </c>
      <c r="C36" s="113" t="s">
        <v>776</v>
      </c>
      <c r="D36" s="113" t="s">
        <v>1523</v>
      </c>
      <c r="E36" s="113" t="s">
        <v>1479</v>
      </c>
      <c r="F36" s="113" t="s">
        <v>1481</v>
      </c>
      <c r="M36" s="113" t="s">
        <v>1482</v>
      </c>
      <c r="N36" s="113" t="s">
        <v>1430</v>
      </c>
      <c r="O36" s="109">
        <v>44732</v>
      </c>
      <c r="P36" s="109">
        <v>44743</v>
      </c>
      <c r="Q36" s="109">
        <v>44731</v>
      </c>
      <c r="R36" s="109">
        <v>44737</v>
      </c>
      <c r="S36" s="110">
        <v>26</v>
      </c>
      <c r="T36" s="110">
        <v>6</v>
      </c>
      <c r="U36" s="110">
        <v>5</v>
      </c>
      <c r="V36" s="111">
        <v>0</v>
      </c>
      <c r="W36" s="110">
        <v>0</v>
      </c>
      <c r="X36" s="112">
        <v>1</v>
      </c>
      <c r="Y36" s="112">
        <v>0</v>
      </c>
      <c r="Z36" s="112">
        <v>0</v>
      </c>
      <c r="AC36" s="111">
        <v>0</v>
      </c>
    </row>
    <row r="37" spans="1:29">
      <c r="A37" s="113" t="s">
        <v>1533</v>
      </c>
      <c r="B37" s="113" t="s">
        <v>1481</v>
      </c>
      <c r="C37" s="113" t="s">
        <v>776</v>
      </c>
      <c r="D37" s="113" t="s">
        <v>1523</v>
      </c>
      <c r="E37" s="113" t="s">
        <v>1479</v>
      </c>
      <c r="F37" s="113" t="s">
        <v>1481</v>
      </c>
      <c r="M37" s="113" t="s">
        <v>1482</v>
      </c>
      <c r="N37" s="113" t="s">
        <v>1430</v>
      </c>
      <c r="O37" s="109">
        <v>44732</v>
      </c>
      <c r="P37" s="109">
        <v>44743</v>
      </c>
      <c r="Q37" s="109">
        <v>44738</v>
      </c>
      <c r="R37" s="109">
        <v>44744</v>
      </c>
      <c r="S37" s="110">
        <v>27</v>
      </c>
      <c r="T37" s="110">
        <v>7</v>
      </c>
      <c r="U37" s="110">
        <v>5</v>
      </c>
      <c r="V37" s="111">
        <v>0</v>
      </c>
      <c r="W37" s="110">
        <v>0</v>
      </c>
      <c r="X37" s="112">
        <v>1</v>
      </c>
      <c r="Y37" s="112">
        <v>0</v>
      </c>
      <c r="Z37" s="112">
        <v>0</v>
      </c>
      <c r="AC37" s="111">
        <v>0</v>
      </c>
    </row>
    <row r="38" spans="1:29">
      <c r="A38" s="113" t="s">
        <v>1533</v>
      </c>
      <c r="B38" s="113" t="s">
        <v>1483</v>
      </c>
      <c r="C38" s="113" t="s">
        <v>776</v>
      </c>
      <c r="D38" s="113" t="s">
        <v>1523</v>
      </c>
      <c r="E38" s="113" t="s">
        <v>1479</v>
      </c>
      <c r="F38" s="113" t="s">
        <v>1483</v>
      </c>
      <c r="M38" s="113" t="s">
        <v>1484</v>
      </c>
      <c r="N38" s="113" t="s">
        <v>1430</v>
      </c>
      <c r="O38" s="109">
        <v>44739</v>
      </c>
      <c r="P38" s="109">
        <v>44750</v>
      </c>
      <c r="Q38" s="109">
        <v>44738</v>
      </c>
      <c r="R38" s="109">
        <v>44744</v>
      </c>
      <c r="S38" s="110">
        <v>27</v>
      </c>
      <c r="T38" s="110">
        <v>7</v>
      </c>
      <c r="U38" s="110">
        <v>5</v>
      </c>
      <c r="V38" s="111">
        <v>0</v>
      </c>
      <c r="W38" s="110">
        <v>0</v>
      </c>
      <c r="X38" s="112">
        <v>1</v>
      </c>
      <c r="Y38" s="112">
        <v>0</v>
      </c>
      <c r="Z38" s="112">
        <v>0</v>
      </c>
      <c r="AC38" s="111">
        <v>0</v>
      </c>
    </row>
    <row r="39" spans="1:29">
      <c r="A39" s="113" t="s">
        <v>1533</v>
      </c>
      <c r="B39" s="113" t="s">
        <v>1483</v>
      </c>
      <c r="C39" s="113" t="s">
        <v>776</v>
      </c>
      <c r="D39" s="113" t="s">
        <v>1523</v>
      </c>
      <c r="E39" s="113" t="s">
        <v>1479</v>
      </c>
      <c r="F39" s="113" t="s">
        <v>1483</v>
      </c>
      <c r="M39" s="113" t="s">
        <v>1484</v>
      </c>
      <c r="N39" s="113" t="s">
        <v>1430</v>
      </c>
      <c r="O39" s="109">
        <v>44739</v>
      </c>
      <c r="P39" s="109">
        <v>44750</v>
      </c>
      <c r="Q39" s="109">
        <v>44745</v>
      </c>
      <c r="R39" s="109">
        <v>44751</v>
      </c>
      <c r="S39" s="110">
        <v>28</v>
      </c>
      <c r="T39" s="110">
        <v>8</v>
      </c>
      <c r="U39" s="110">
        <v>5</v>
      </c>
      <c r="V39" s="111">
        <v>0</v>
      </c>
      <c r="W39" s="110">
        <v>0</v>
      </c>
      <c r="X39" s="112">
        <v>1</v>
      </c>
      <c r="Y39" s="112">
        <v>0</v>
      </c>
      <c r="Z39" s="112">
        <v>0</v>
      </c>
      <c r="AC39" s="111">
        <v>0</v>
      </c>
    </row>
    <row r="40" spans="1:29">
      <c r="A40" s="113" t="s">
        <v>1533</v>
      </c>
      <c r="B40" s="113" t="s">
        <v>1485</v>
      </c>
      <c r="C40" s="113" t="s">
        <v>776</v>
      </c>
      <c r="D40" s="113" t="s">
        <v>1523</v>
      </c>
      <c r="E40" s="113" t="s">
        <v>1479</v>
      </c>
      <c r="F40" s="113" t="s">
        <v>1485</v>
      </c>
      <c r="M40" s="113" t="s">
        <v>1486</v>
      </c>
      <c r="N40" s="113" t="s">
        <v>1430</v>
      </c>
      <c r="O40" s="109">
        <v>44739</v>
      </c>
      <c r="P40" s="109">
        <v>44757</v>
      </c>
      <c r="Q40" s="109">
        <v>44738</v>
      </c>
      <c r="R40" s="109">
        <v>44744</v>
      </c>
      <c r="S40" s="110">
        <v>27</v>
      </c>
      <c r="T40" s="110">
        <v>7</v>
      </c>
      <c r="U40" s="110">
        <v>5</v>
      </c>
      <c r="V40" s="111">
        <v>0</v>
      </c>
      <c r="W40" s="110">
        <v>0</v>
      </c>
      <c r="X40" s="112">
        <v>1</v>
      </c>
      <c r="Y40" s="112">
        <v>0</v>
      </c>
      <c r="Z40" s="112">
        <v>0</v>
      </c>
      <c r="AC40" s="111">
        <v>0</v>
      </c>
    </row>
    <row r="41" spans="1:29">
      <c r="A41" s="113" t="s">
        <v>1533</v>
      </c>
      <c r="B41" s="113" t="s">
        <v>1485</v>
      </c>
      <c r="C41" s="113" t="s">
        <v>776</v>
      </c>
      <c r="D41" s="113" t="s">
        <v>1523</v>
      </c>
      <c r="E41" s="113" t="s">
        <v>1479</v>
      </c>
      <c r="F41" s="113" t="s">
        <v>1485</v>
      </c>
      <c r="M41" s="113" t="s">
        <v>1486</v>
      </c>
      <c r="N41" s="113" t="s">
        <v>1430</v>
      </c>
      <c r="O41" s="109">
        <v>44739</v>
      </c>
      <c r="P41" s="109">
        <v>44757</v>
      </c>
      <c r="Q41" s="109">
        <v>44745</v>
      </c>
      <c r="R41" s="109">
        <v>44751</v>
      </c>
      <c r="S41" s="110">
        <v>28</v>
      </c>
      <c r="T41" s="110">
        <v>8</v>
      </c>
      <c r="U41" s="110">
        <v>5</v>
      </c>
      <c r="V41" s="111">
        <v>0</v>
      </c>
      <c r="W41" s="110">
        <v>0</v>
      </c>
      <c r="X41" s="112">
        <v>1</v>
      </c>
      <c r="Y41" s="112">
        <v>0</v>
      </c>
      <c r="Z41" s="112">
        <v>0</v>
      </c>
      <c r="AC41" s="111">
        <v>0</v>
      </c>
    </row>
    <row r="42" spans="1:29">
      <c r="A42" s="113" t="s">
        <v>1533</v>
      </c>
      <c r="B42" s="113" t="s">
        <v>1485</v>
      </c>
      <c r="C42" s="113" t="s">
        <v>776</v>
      </c>
      <c r="D42" s="113" t="s">
        <v>1523</v>
      </c>
      <c r="E42" s="113" t="s">
        <v>1479</v>
      </c>
      <c r="F42" s="113" t="s">
        <v>1485</v>
      </c>
      <c r="M42" s="113" t="s">
        <v>1486</v>
      </c>
      <c r="N42" s="113" t="s">
        <v>1430</v>
      </c>
      <c r="O42" s="109">
        <v>44739</v>
      </c>
      <c r="P42" s="109">
        <v>44757</v>
      </c>
      <c r="Q42" s="109">
        <v>44752</v>
      </c>
      <c r="R42" s="109">
        <v>44758</v>
      </c>
      <c r="S42" s="110">
        <v>29</v>
      </c>
      <c r="T42" s="110">
        <v>9</v>
      </c>
      <c r="U42" s="110">
        <v>5</v>
      </c>
      <c r="V42" s="111">
        <v>0</v>
      </c>
      <c r="W42" s="110">
        <v>0</v>
      </c>
      <c r="X42" s="112">
        <v>1</v>
      </c>
      <c r="Y42" s="112">
        <v>0</v>
      </c>
      <c r="Z42" s="112">
        <v>0</v>
      </c>
      <c r="AC42" s="111">
        <v>0</v>
      </c>
    </row>
    <row r="43" spans="1:29">
      <c r="A43" s="113" t="s">
        <v>1531</v>
      </c>
      <c r="B43" s="113" t="s">
        <v>1487</v>
      </c>
      <c r="C43" s="113" t="s">
        <v>776</v>
      </c>
      <c r="D43" s="113" t="s">
        <v>1523</v>
      </c>
      <c r="E43" s="113" t="s">
        <v>1487</v>
      </c>
      <c r="M43" s="113" t="s">
        <v>1488</v>
      </c>
      <c r="N43" s="113" t="s">
        <v>1430</v>
      </c>
      <c r="O43" s="109">
        <v>44760</v>
      </c>
      <c r="P43" s="109">
        <v>44764</v>
      </c>
      <c r="Q43" s="109">
        <v>44759</v>
      </c>
      <c r="R43" s="109">
        <v>44765</v>
      </c>
      <c r="S43" s="110">
        <v>30</v>
      </c>
      <c r="T43" s="110">
        <v>10</v>
      </c>
      <c r="U43" s="110">
        <v>5</v>
      </c>
      <c r="V43" s="111">
        <v>0</v>
      </c>
      <c r="W43" s="110">
        <v>0</v>
      </c>
      <c r="X43" s="112">
        <v>1</v>
      </c>
      <c r="Y43" s="112">
        <v>0</v>
      </c>
      <c r="Z43" s="112">
        <v>0</v>
      </c>
      <c r="AC43" s="111">
        <v>0</v>
      </c>
    </row>
    <row r="44" spans="1:29">
      <c r="A44" s="113" t="s">
        <v>1533</v>
      </c>
      <c r="B44" s="113" t="s">
        <v>1490</v>
      </c>
      <c r="C44" s="113" t="s">
        <v>776</v>
      </c>
      <c r="D44" s="113" t="s">
        <v>1524</v>
      </c>
      <c r="E44" s="113" t="s">
        <v>1489</v>
      </c>
      <c r="F44" s="113" t="s">
        <v>1490</v>
      </c>
      <c r="M44" s="113" t="s">
        <v>1491</v>
      </c>
      <c r="N44" s="113" t="s">
        <v>1430</v>
      </c>
      <c r="O44" s="109">
        <v>44760</v>
      </c>
      <c r="P44" s="109">
        <v>44764</v>
      </c>
      <c r="Q44" s="109">
        <v>44759</v>
      </c>
      <c r="R44" s="109">
        <v>44765</v>
      </c>
      <c r="S44" s="110">
        <v>30</v>
      </c>
      <c r="T44" s="110">
        <v>10</v>
      </c>
      <c r="U44" s="110">
        <v>5</v>
      </c>
      <c r="V44" s="111">
        <v>0</v>
      </c>
      <c r="W44" s="110">
        <v>0</v>
      </c>
      <c r="X44" s="112">
        <v>1</v>
      </c>
      <c r="Y44" s="112">
        <v>0</v>
      </c>
      <c r="Z44" s="112">
        <v>0</v>
      </c>
      <c r="AC44" s="111">
        <v>0</v>
      </c>
    </row>
    <row r="45" spans="1:29">
      <c r="A45" s="113" t="s">
        <v>1538</v>
      </c>
      <c r="B45" s="113" t="s">
        <v>1494</v>
      </c>
      <c r="C45" s="113" t="s">
        <v>776</v>
      </c>
      <c r="D45" s="113" t="s">
        <v>1524</v>
      </c>
      <c r="E45" s="113" t="s">
        <v>1489</v>
      </c>
      <c r="F45" s="113" t="s">
        <v>1492</v>
      </c>
      <c r="G45" s="113" t="s">
        <v>1493</v>
      </c>
      <c r="H45" s="113" t="s">
        <v>1494</v>
      </c>
      <c r="M45" s="113" t="s">
        <v>1495</v>
      </c>
      <c r="N45" s="113" t="s">
        <v>1430</v>
      </c>
      <c r="O45" s="109">
        <v>44760</v>
      </c>
      <c r="P45" s="109">
        <v>44771</v>
      </c>
      <c r="Q45" s="109">
        <v>44759</v>
      </c>
      <c r="R45" s="109">
        <v>44765</v>
      </c>
      <c r="S45" s="110">
        <v>30</v>
      </c>
      <c r="T45" s="110">
        <v>10</v>
      </c>
      <c r="U45" s="110">
        <v>5</v>
      </c>
      <c r="V45" s="111">
        <v>0</v>
      </c>
      <c r="W45" s="110">
        <v>0</v>
      </c>
      <c r="X45" s="112">
        <v>1</v>
      </c>
      <c r="Y45" s="112">
        <v>0</v>
      </c>
      <c r="Z45" s="112">
        <v>0</v>
      </c>
      <c r="AC45" s="111">
        <v>0</v>
      </c>
    </row>
    <row r="46" spans="1:29">
      <c r="A46" s="113" t="s">
        <v>1538</v>
      </c>
      <c r="B46" s="113" t="s">
        <v>1494</v>
      </c>
      <c r="C46" s="113" t="s">
        <v>776</v>
      </c>
      <c r="D46" s="113" t="s">
        <v>1524</v>
      </c>
      <c r="E46" s="113" t="s">
        <v>1489</v>
      </c>
      <c r="F46" s="113" t="s">
        <v>1492</v>
      </c>
      <c r="G46" s="113" t="s">
        <v>1493</v>
      </c>
      <c r="H46" s="113" t="s">
        <v>1494</v>
      </c>
      <c r="M46" s="113" t="s">
        <v>1495</v>
      </c>
      <c r="N46" s="113" t="s">
        <v>1430</v>
      </c>
      <c r="O46" s="109">
        <v>44760</v>
      </c>
      <c r="P46" s="109">
        <v>44771</v>
      </c>
      <c r="Q46" s="109">
        <v>44766</v>
      </c>
      <c r="R46" s="109">
        <v>44772</v>
      </c>
      <c r="S46" s="110">
        <v>31</v>
      </c>
      <c r="T46" s="110">
        <v>11</v>
      </c>
      <c r="U46" s="110">
        <v>5</v>
      </c>
      <c r="V46" s="111">
        <v>0</v>
      </c>
      <c r="W46" s="110">
        <v>0</v>
      </c>
      <c r="X46" s="112">
        <v>1</v>
      </c>
      <c r="Y46" s="112">
        <v>0</v>
      </c>
      <c r="Z46" s="112">
        <v>0</v>
      </c>
      <c r="AC46" s="111">
        <v>0</v>
      </c>
    </row>
    <row r="47" spans="1:29">
      <c r="A47" s="113" t="s">
        <v>1538</v>
      </c>
      <c r="B47" s="113" t="s">
        <v>1496</v>
      </c>
      <c r="C47" s="113" t="s">
        <v>776</v>
      </c>
      <c r="D47" s="113" t="s">
        <v>1524</v>
      </c>
      <c r="E47" s="113" t="s">
        <v>1489</v>
      </c>
      <c r="F47" s="113" t="s">
        <v>1492</v>
      </c>
      <c r="G47" s="113" t="s">
        <v>1493</v>
      </c>
      <c r="H47" s="113" t="s">
        <v>1496</v>
      </c>
      <c r="M47" s="113" t="s">
        <v>1497</v>
      </c>
      <c r="N47" s="113" t="s">
        <v>1430</v>
      </c>
      <c r="O47" s="109">
        <v>44774</v>
      </c>
      <c r="P47" s="109">
        <v>44795</v>
      </c>
      <c r="Q47" s="109">
        <v>44773</v>
      </c>
      <c r="R47" s="109">
        <v>44779</v>
      </c>
      <c r="S47" s="110">
        <v>32</v>
      </c>
      <c r="T47" s="110">
        <v>12</v>
      </c>
      <c r="U47" s="110">
        <v>5</v>
      </c>
      <c r="V47" s="111">
        <v>0</v>
      </c>
      <c r="W47" s="110">
        <v>0</v>
      </c>
      <c r="X47" s="112">
        <v>1</v>
      </c>
      <c r="Y47" s="112">
        <v>0</v>
      </c>
      <c r="Z47" s="112">
        <v>0</v>
      </c>
      <c r="AC47" s="111">
        <v>0</v>
      </c>
    </row>
    <row r="48" spans="1:29">
      <c r="A48" s="113" t="s">
        <v>1538</v>
      </c>
      <c r="B48" s="113" t="s">
        <v>1496</v>
      </c>
      <c r="C48" s="113" t="s">
        <v>776</v>
      </c>
      <c r="D48" s="113" t="s">
        <v>1524</v>
      </c>
      <c r="E48" s="113" t="s">
        <v>1489</v>
      </c>
      <c r="F48" s="113" t="s">
        <v>1492</v>
      </c>
      <c r="G48" s="113" t="s">
        <v>1493</v>
      </c>
      <c r="H48" s="113" t="s">
        <v>1496</v>
      </c>
      <c r="M48" s="113" t="s">
        <v>1497</v>
      </c>
      <c r="N48" s="113" t="s">
        <v>1430</v>
      </c>
      <c r="O48" s="109">
        <v>44774</v>
      </c>
      <c r="P48" s="109">
        <v>44795</v>
      </c>
      <c r="Q48" s="109">
        <v>44780</v>
      </c>
      <c r="R48" s="109">
        <v>44786</v>
      </c>
      <c r="S48" s="110">
        <v>33</v>
      </c>
      <c r="T48" s="110">
        <v>13</v>
      </c>
      <c r="U48" s="110">
        <v>5</v>
      </c>
      <c r="V48" s="111">
        <v>0</v>
      </c>
      <c r="W48" s="110">
        <v>0</v>
      </c>
      <c r="X48" s="112">
        <v>1</v>
      </c>
      <c r="Y48" s="112">
        <v>0</v>
      </c>
      <c r="Z48" s="112">
        <v>0</v>
      </c>
      <c r="AC48" s="111">
        <v>0</v>
      </c>
    </row>
    <row r="49" spans="1:29">
      <c r="A49" s="113" t="s">
        <v>1538</v>
      </c>
      <c r="B49" s="113" t="s">
        <v>1496</v>
      </c>
      <c r="C49" s="113" t="s">
        <v>776</v>
      </c>
      <c r="D49" s="113" t="s">
        <v>1524</v>
      </c>
      <c r="E49" s="113" t="s">
        <v>1489</v>
      </c>
      <c r="F49" s="113" t="s">
        <v>1492</v>
      </c>
      <c r="G49" s="113" t="s">
        <v>1493</v>
      </c>
      <c r="H49" s="113" t="s">
        <v>1496</v>
      </c>
      <c r="M49" s="113" t="s">
        <v>1497</v>
      </c>
      <c r="N49" s="113" t="s">
        <v>1430</v>
      </c>
      <c r="O49" s="109">
        <v>44774</v>
      </c>
      <c r="P49" s="109">
        <v>44795</v>
      </c>
      <c r="Q49" s="109">
        <v>44787</v>
      </c>
      <c r="R49" s="109">
        <v>44793</v>
      </c>
      <c r="S49" s="110">
        <v>34</v>
      </c>
      <c r="T49" s="110">
        <v>14</v>
      </c>
      <c r="U49" s="110">
        <v>4</v>
      </c>
      <c r="V49" s="111">
        <v>0</v>
      </c>
      <c r="W49" s="110">
        <v>0</v>
      </c>
      <c r="X49" s="112">
        <v>1</v>
      </c>
      <c r="Y49" s="112">
        <v>0</v>
      </c>
      <c r="Z49" s="112">
        <v>0</v>
      </c>
      <c r="AC49" s="111">
        <v>0</v>
      </c>
    </row>
    <row r="50" spans="1:29">
      <c r="A50" s="113" t="s">
        <v>1538</v>
      </c>
      <c r="B50" s="113" t="s">
        <v>1496</v>
      </c>
      <c r="C50" s="113" t="s">
        <v>776</v>
      </c>
      <c r="D50" s="113" t="s">
        <v>1524</v>
      </c>
      <c r="E50" s="113" t="s">
        <v>1489</v>
      </c>
      <c r="F50" s="113" t="s">
        <v>1492</v>
      </c>
      <c r="G50" s="113" t="s">
        <v>1493</v>
      </c>
      <c r="H50" s="113" t="s">
        <v>1496</v>
      </c>
      <c r="M50" s="113" t="s">
        <v>1497</v>
      </c>
      <c r="N50" s="113" t="s">
        <v>1430</v>
      </c>
      <c r="O50" s="109">
        <v>44774</v>
      </c>
      <c r="P50" s="109">
        <v>44795</v>
      </c>
      <c r="Q50" s="109">
        <v>44794</v>
      </c>
      <c r="R50" s="109">
        <v>44800</v>
      </c>
      <c r="S50" s="110">
        <v>35</v>
      </c>
      <c r="T50" s="110">
        <v>15</v>
      </c>
      <c r="U50" s="110">
        <v>1</v>
      </c>
      <c r="V50" s="111">
        <v>0</v>
      </c>
      <c r="W50" s="110">
        <v>0</v>
      </c>
      <c r="X50" s="112">
        <v>1</v>
      </c>
      <c r="Y50" s="112">
        <v>0</v>
      </c>
      <c r="Z50" s="112">
        <v>0</v>
      </c>
      <c r="AC50" s="111">
        <v>0</v>
      </c>
    </row>
    <row r="51" spans="1:29">
      <c r="A51" s="113" t="s">
        <v>1538</v>
      </c>
      <c r="B51" s="113" t="s">
        <v>1498</v>
      </c>
      <c r="C51" s="113" t="s">
        <v>776</v>
      </c>
      <c r="D51" s="113" t="s">
        <v>1524</v>
      </c>
      <c r="E51" s="113" t="s">
        <v>1489</v>
      </c>
      <c r="F51" s="113" t="s">
        <v>1492</v>
      </c>
      <c r="G51" s="113" t="s">
        <v>1493</v>
      </c>
      <c r="H51" s="113" t="s">
        <v>1498</v>
      </c>
      <c r="M51" s="113" t="s">
        <v>1499</v>
      </c>
      <c r="N51" s="113" t="s">
        <v>1430</v>
      </c>
      <c r="O51" s="109">
        <v>44796</v>
      </c>
      <c r="P51" s="109">
        <v>44809</v>
      </c>
      <c r="Q51" s="109">
        <v>44794</v>
      </c>
      <c r="R51" s="109">
        <v>44800</v>
      </c>
      <c r="S51" s="110">
        <v>35</v>
      </c>
      <c r="T51" s="110">
        <v>15</v>
      </c>
      <c r="U51" s="110">
        <v>4</v>
      </c>
      <c r="V51" s="111">
        <v>0</v>
      </c>
      <c r="W51" s="110">
        <v>0</v>
      </c>
      <c r="X51" s="112">
        <v>1</v>
      </c>
      <c r="Y51" s="112">
        <v>0</v>
      </c>
      <c r="Z51" s="112">
        <v>0</v>
      </c>
      <c r="AC51" s="111">
        <v>0</v>
      </c>
    </row>
    <row r="52" spans="1:29">
      <c r="A52" s="113" t="s">
        <v>1538</v>
      </c>
      <c r="B52" s="113" t="s">
        <v>1498</v>
      </c>
      <c r="C52" s="113" t="s">
        <v>776</v>
      </c>
      <c r="D52" s="113" t="s">
        <v>1524</v>
      </c>
      <c r="E52" s="113" t="s">
        <v>1489</v>
      </c>
      <c r="F52" s="113" t="s">
        <v>1492</v>
      </c>
      <c r="G52" s="113" t="s">
        <v>1493</v>
      </c>
      <c r="H52" s="113" t="s">
        <v>1498</v>
      </c>
      <c r="M52" s="113" t="s">
        <v>1499</v>
      </c>
      <c r="N52" s="113" t="s">
        <v>1430</v>
      </c>
      <c r="O52" s="109">
        <v>44796</v>
      </c>
      <c r="P52" s="109">
        <v>44809</v>
      </c>
      <c r="Q52" s="109">
        <v>44801</v>
      </c>
      <c r="R52" s="109">
        <v>44807</v>
      </c>
      <c r="S52" s="110">
        <v>36</v>
      </c>
      <c r="T52" s="110">
        <v>16</v>
      </c>
      <c r="U52" s="110">
        <v>5</v>
      </c>
      <c r="V52" s="111">
        <v>0</v>
      </c>
      <c r="W52" s="110">
        <v>0</v>
      </c>
      <c r="X52" s="112">
        <v>1</v>
      </c>
      <c r="Y52" s="112">
        <v>0</v>
      </c>
      <c r="Z52" s="112">
        <v>0</v>
      </c>
      <c r="AC52" s="111">
        <v>0</v>
      </c>
    </row>
    <row r="53" spans="1:29">
      <c r="A53" s="113" t="s">
        <v>1538</v>
      </c>
      <c r="B53" s="113" t="s">
        <v>1498</v>
      </c>
      <c r="C53" s="113" t="s">
        <v>776</v>
      </c>
      <c r="D53" s="113" t="s">
        <v>1524</v>
      </c>
      <c r="E53" s="113" t="s">
        <v>1489</v>
      </c>
      <c r="F53" s="113" t="s">
        <v>1492</v>
      </c>
      <c r="G53" s="113" t="s">
        <v>1493</v>
      </c>
      <c r="H53" s="113" t="s">
        <v>1498</v>
      </c>
      <c r="M53" s="113" t="s">
        <v>1499</v>
      </c>
      <c r="N53" s="113" t="s">
        <v>1430</v>
      </c>
      <c r="O53" s="109">
        <v>44796</v>
      </c>
      <c r="P53" s="109">
        <v>44809</v>
      </c>
      <c r="Q53" s="109">
        <v>44808</v>
      </c>
      <c r="R53" s="109">
        <v>44814</v>
      </c>
      <c r="S53" s="110">
        <v>37</v>
      </c>
      <c r="T53" s="110">
        <v>17</v>
      </c>
      <c r="U53" s="110">
        <v>1</v>
      </c>
      <c r="V53" s="111">
        <v>0</v>
      </c>
      <c r="W53" s="110">
        <v>0</v>
      </c>
      <c r="X53" s="112">
        <v>1</v>
      </c>
      <c r="Y53" s="112">
        <v>0</v>
      </c>
      <c r="Z53" s="112">
        <v>0</v>
      </c>
      <c r="AC53" s="111">
        <v>0</v>
      </c>
    </row>
    <row r="54" spans="1:29">
      <c r="A54" s="113" t="s">
        <v>1539</v>
      </c>
      <c r="B54" s="113" t="s">
        <v>1500</v>
      </c>
      <c r="C54" s="113" t="s">
        <v>776</v>
      </c>
      <c r="D54" s="113" t="s">
        <v>1524</v>
      </c>
      <c r="E54" s="113" t="s">
        <v>1489</v>
      </c>
      <c r="F54" s="113" t="s">
        <v>1492</v>
      </c>
      <c r="G54" s="113" t="s">
        <v>1500</v>
      </c>
      <c r="M54" s="113" t="s">
        <v>1501</v>
      </c>
      <c r="N54" s="113" t="s">
        <v>1430</v>
      </c>
      <c r="O54" s="109">
        <v>44760</v>
      </c>
      <c r="P54" s="109">
        <v>44819</v>
      </c>
      <c r="Q54" s="109">
        <v>44759</v>
      </c>
      <c r="R54" s="109">
        <v>44765</v>
      </c>
      <c r="S54" s="110">
        <v>30</v>
      </c>
      <c r="T54" s="110">
        <v>10</v>
      </c>
      <c r="U54" s="110">
        <v>5</v>
      </c>
      <c r="V54" s="111">
        <v>0</v>
      </c>
      <c r="W54" s="110">
        <v>0</v>
      </c>
      <c r="X54" s="112">
        <v>1</v>
      </c>
      <c r="Y54" s="112">
        <v>0</v>
      </c>
      <c r="Z54" s="112">
        <v>0</v>
      </c>
      <c r="AC54" s="111">
        <v>0</v>
      </c>
    </row>
    <row r="55" spans="1:29">
      <c r="A55" s="113" t="s">
        <v>1539</v>
      </c>
      <c r="B55" s="113" t="s">
        <v>1500</v>
      </c>
      <c r="C55" s="113" t="s">
        <v>776</v>
      </c>
      <c r="D55" s="113" t="s">
        <v>1524</v>
      </c>
      <c r="E55" s="113" t="s">
        <v>1489</v>
      </c>
      <c r="F55" s="113" t="s">
        <v>1492</v>
      </c>
      <c r="G55" s="113" t="s">
        <v>1500</v>
      </c>
      <c r="M55" s="113" t="s">
        <v>1501</v>
      </c>
      <c r="N55" s="113" t="s">
        <v>1430</v>
      </c>
      <c r="O55" s="109">
        <v>44760</v>
      </c>
      <c r="P55" s="109">
        <v>44819</v>
      </c>
      <c r="Q55" s="109">
        <v>44766</v>
      </c>
      <c r="R55" s="109">
        <v>44772</v>
      </c>
      <c r="S55" s="110">
        <v>31</v>
      </c>
      <c r="T55" s="110">
        <v>11</v>
      </c>
      <c r="U55" s="110">
        <v>5</v>
      </c>
      <c r="V55" s="111">
        <v>0</v>
      </c>
      <c r="W55" s="110">
        <v>0</v>
      </c>
      <c r="X55" s="112">
        <v>1</v>
      </c>
      <c r="Y55" s="112">
        <v>0</v>
      </c>
      <c r="Z55" s="112">
        <v>0</v>
      </c>
      <c r="AC55" s="111">
        <v>0</v>
      </c>
    </row>
    <row r="56" spans="1:29">
      <c r="A56" s="113" t="s">
        <v>1539</v>
      </c>
      <c r="B56" s="113" t="s">
        <v>1500</v>
      </c>
      <c r="C56" s="113" t="s">
        <v>776</v>
      </c>
      <c r="D56" s="113" t="s">
        <v>1524</v>
      </c>
      <c r="E56" s="113" t="s">
        <v>1489</v>
      </c>
      <c r="F56" s="113" t="s">
        <v>1492</v>
      </c>
      <c r="G56" s="113" t="s">
        <v>1500</v>
      </c>
      <c r="M56" s="113" t="s">
        <v>1501</v>
      </c>
      <c r="N56" s="113" t="s">
        <v>1430</v>
      </c>
      <c r="O56" s="109">
        <v>44760</v>
      </c>
      <c r="P56" s="109">
        <v>44819</v>
      </c>
      <c r="Q56" s="109">
        <v>44773</v>
      </c>
      <c r="R56" s="109">
        <v>44779</v>
      </c>
      <c r="S56" s="110">
        <v>32</v>
      </c>
      <c r="T56" s="110">
        <v>12</v>
      </c>
      <c r="U56" s="110">
        <v>5</v>
      </c>
      <c r="V56" s="111">
        <v>0</v>
      </c>
      <c r="W56" s="110">
        <v>0</v>
      </c>
      <c r="X56" s="112">
        <v>1</v>
      </c>
      <c r="Y56" s="112">
        <v>0</v>
      </c>
      <c r="Z56" s="112">
        <v>0</v>
      </c>
      <c r="AC56" s="111">
        <v>0</v>
      </c>
    </row>
    <row r="57" spans="1:29">
      <c r="A57" s="113" t="s">
        <v>1539</v>
      </c>
      <c r="B57" s="113" t="s">
        <v>1500</v>
      </c>
      <c r="C57" s="113" t="s">
        <v>776</v>
      </c>
      <c r="D57" s="113" t="s">
        <v>1524</v>
      </c>
      <c r="E57" s="113" t="s">
        <v>1489</v>
      </c>
      <c r="F57" s="113" t="s">
        <v>1492</v>
      </c>
      <c r="G57" s="113" t="s">
        <v>1500</v>
      </c>
      <c r="M57" s="113" t="s">
        <v>1501</v>
      </c>
      <c r="N57" s="113" t="s">
        <v>1430</v>
      </c>
      <c r="O57" s="109">
        <v>44760</v>
      </c>
      <c r="P57" s="109">
        <v>44819</v>
      </c>
      <c r="Q57" s="109">
        <v>44780</v>
      </c>
      <c r="R57" s="109">
        <v>44786</v>
      </c>
      <c r="S57" s="110">
        <v>33</v>
      </c>
      <c r="T57" s="110">
        <v>13</v>
      </c>
      <c r="U57" s="110">
        <v>5</v>
      </c>
      <c r="V57" s="111">
        <v>0</v>
      </c>
      <c r="W57" s="110">
        <v>0</v>
      </c>
      <c r="X57" s="112">
        <v>1</v>
      </c>
      <c r="Y57" s="112">
        <v>0</v>
      </c>
      <c r="Z57" s="112">
        <v>0</v>
      </c>
      <c r="AC57" s="111">
        <v>0</v>
      </c>
    </row>
    <row r="58" spans="1:29">
      <c r="A58" s="113" t="s">
        <v>1539</v>
      </c>
      <c r="B58" s="113" t="s">
        <v>1500</v>
      </c>
      <c r="C58" s="113" t="s">
        <v>776</v>
      </c>
      <c r="D58" s="113" t="s">
        <v>1524</v>
      </c>
      <c r="E58" s="113" t="s">
        <v>1489</v>
      </c>
      <c r="F58" s="113" t="s">
        <v>1492</v>
      </c>
      <c r="G58" s="113" t="s">
        <v>1500</v>
      </c>
      <c r="M58" s="113" t="s">
        <v>1501</v>
      </c>
      <c r="N58" s="113" t="s">
        <v>1430</v>
      </c>
      <c r="O58" s="109">
        <v>44760</v>
      </c>
      <c r="P58" s="109">
        <v>44819</v>
      </c>
      <c r="Q58" s="109">
        <v>44787</v>
      </c>
      <c r="R58" s="109">
        <v>44793</v>
      </c>
      <c r="S58" s="110">
        <v>34</v>
      </c>
      <c r="T58" s="110">
        <v>14</v>
      </c>
      <c r="U58" s="110">
        <v>4</v>
      </c>
      <c r="V58" s="111">
        <v>0</v>
      </c>
      <c r="W58" s="110">
        <v>0</v>
      </c>
      <c r="X58" s="112">
        <v>1</v>
      </c>
      <c r="Y58" s="112">
        <v>0</v>
      </c>
      <c r="Z58" s="112">
        <v>0</v>
      </c>
      <c r="AC58" s="111">
        <v>0</v>
      </c>
    </row>
    <row r="59" spans="1:29">
      <c r="A59" s="113" t="s">
        <v>1539</v>
      </c>
      <c r="B59" s="113" t="s">
        <v>1500</v>
      </c>
      <c r="C59" s="113" t="s">
        <v>776</v>
      </c>
      <c r="D59" s="113" t="s">
        <v>1524</v>
      </c>
      <c r="E59" s="113" t="s">
        <v>1489</v>
      </c>
      <c r="F59" s="113" t="s">
        <v>1492</v>
      </c>
      <c r="G59" s="113" t="s">
        <v>1500</v>
      </c>
      <c r="M59" s="113" t="s">
        <v>1501</v>
      </c>
      <c r="N59" s="113" t="s">
        <v>1430</v>
      </c>
      <c r="O59" s="109">
        <v>44760</v>
      </c>
      <c r="P59" s="109">
        <v>44819</v>
      </c>
      <c r="Q59" s="109">
        <v>44794</v>
      </c>
      <c r="R59" s="109">
        <v>44800</v>
      </c>
      <c r="S59" s="110">
        <v>35</v>
      </c>
      <c r="T59" s="110">
        <v>15</v>
      </c>
      <c r="U59" s="110">
        <v>5</v>
      </c>
      <c r="V59" s="111">
        <v>0</v>
      </c>
      <c r="W59" s="110">
        <v>0</v>
      </c>
      <c r="X59" s="112">
        <v>1</v>
      </c>
      <c r="Y59" s="112">
        <v>0</v>
      </c>
      <c r="Z59" s="112">
        <v>0</v>
      </c>
      <c r="AC59" s="111">
        <v>0</v>
      </c>
    </row>
    <row r="60" spans="1:29">
      <c r="A60" s="113" t="s">
        <v>1539</v>
      </c>
      <c r="B60" s="113" t="s">
        <v>1500</v>
      </c>
      <c r="C60" s="113" t="s">
        <v>776</v>
      </c>
      <c r="D60" s="113" t="s">
        <v>1524</v>
      </c>
      <c r="E60" s="113" t="s">
        <v>1489</v>
      </c>
      <c r="F60" s="113" t="s">
        <v>1492</v>
      </c>
      <c r="G60" s="113" t="s">
        <v>1500</v>
      </c>
      <c r="M60" s="113" t="s">
        <v>1501</v>
      </c>
      <c r="N60" s="113" t="s">
        <v>1430</v>
      </c>
      <c r="O60" s="109">
        <v>44760</v>
      </c>
      <c r="P60" s="109">
        <v>44819</v>
      </c>
      <c r="Q60" s="109">
        <v>44801</v>
      </c>
      <c r="R60" s="109">
        <v>44807</v>
      </c>
      <c r="S60" s="110">
        <v>36</v>
      </c>
      <c r="T60" s="110">
        <v>16</v>
      </c>
      <c r="U60" s="110">
        <v>5</v>
      </c>
      <c r="V60" s="111">
        <v>0</v>
      </c>
      <c r="W60" s="110">
        <v>0</v>
      </c>
      <c r="X60" s="112">
        <v>1</v>
      </c>
      <c r="Y60" s="112">
        <v>0</v>
      </c>
      <c r="Z60" s="112">
        <v>0</v>
      </c>
      <c r="AC60" s="111">
        <v>0</v>
      </c>
    </row>
    <row r="61" spans="1:29">
      <c r="A61" s="113" t="s">
        <v>1539</v>
      </c>
      <c r="B61" s="113" t="s">
        <v>1500</v>
      </c>
      <c r="C61" s="113" t="s">
        <v>776</v>
      </c>
      <c r="D61" s="113" t="s">
        <v>1524</v>
      </c>
      <c r="E61" s="113" t="s">
        <v>1489</v>
      </c>
      <c r="F61" s="113" t="s">
        <v>1492</v>
      </c>
      <c r="G61" s="113" t="s">
        <v>1500</v>
      </c>
      <c r="M61" s="113" t="s">
        <v>1501</v>
      </c>
      <c r="N61" s="113" t="s">
        <v>1430</v>
      </c>
      <c r="O61" s="109">
        <v>44760</v>
      </c>
      <c r="P61" s="109">
        <v>44819</v>
      </c>
      <c r="Q61" s="109">
        <v>44808</v>
      </c>
      <c r="R61" s="109">
        <v>44814</v>
      </c>
      <c r="S61" s="110">
        <v>37</v>
      </c>
      <c r="T61" s="110">
        <v>17</v>
      </c>
      <c r="U61" s="110">
        <v>4</v>
      </c>
      <c r="V61" s="111">
        <v>0</v>
      </c>
      <c r="W61" s="110">
        <v>0</v>
      </c>
      <c r="X61" s="112">
        <v>1</v>
      </c>
      <c r="Y61" s="112">
        <v>0</v>
      </c>
      <c r="Z61" s="112">
        <v>0</v>
      </c>
      <c r="AC61" s="111">
        <v>0</v>
      </c>
    </row>
    <row r="62" spans="1:29">
      <c r="A62" s="113" t="s">
        <v>1539</v>
      </c>
      <c r="B62" s="113" t="s">
        <v>1500</v>
      </c>
      <c r="C62" s="113" t="s">
        <v>776</v>
      </c>
      <c r="D62" s="113" t="s">
        <v>1524</v>
      </c>
      <c r="E62" s="113" t="s">
        <v>1489</v>
      </c>
      <c r="F62" s="113" t="s">
        <v>1492</v>
      </c>
      <c r="G62" s="113" t="s">
        <v>1500</v>
      </c>
      <c r="M62" s="113" t="s">
        <v>1501</v>
      </c>
      <c r="N62" s="113" t="s">
        <v>1430</v>
      </c>
      <c r="O62" s="109">
        <v>44760</v>
      </c>
      <c r="P62" s="109">
        <v>44819</v>
      </c>
      <c r="Q62" s="109">
        <v>44815</v>
      </c>
      <c r="R62" s="109">
        <v>44821</v>
      </c>
      <c r="S62" s="110">
        <v>38</v>
      </c>
      <c r="T62" s="110">
        <v>18</v>
      </c>
      <c r="U62" s="110">
        <v>3</v>
      </c>
      <c r="V62" s="111">
        <v>0</v>
      </c>
      <c r="W62" s="110">
        <v>0</v>
      </c>
      <c r="X62" s="112">
        <v>1</v>
      </c>
      <c r="Y62" s="112">
        <v>0</v>
      </c>
      <c r="Z62" s="112">
        <v>0</v>
      </c>
      <c r="AC62" s="111">
        <v>0</v>
      </c>
    </row>
    <row r="63" spans="1:29">
      <c r="A63" s="113" t="s">
        <v>1539</v>
      </c>
      <c r="B63" s="113" t="s">
        <v>1502</v>
      </c>
      <c r="C63" s="113" t="s">
        <v>776</v>
      </c>
      <c r="D63" s="113" t="s">
        <v>1524</v>
      </c>
      <c r="E63" s="113" t="s">
        <v>1489</v>
      </c>
      <c r="F63" s="113" t="s">
        <v>1492</v>
      </c>
      <c r="G63" s="113" t="s">
        <v>1502</v>
      </c>
      <c r="M63" s="113" t="s">
        <v>1503</v>
      </c>
      <c r="N63" s="113" t="s">
        <v>1430</v>
      </c>
      <c r="O63" s="109">
        <v>44760</v>
      </c>
      <c r="P63" s="109">
        <v>44819</v>
      </c>
      <c r="Q63" s="109">
        <v>44759</v>
      </c>
      <c r="R63" s="109">
        <v>44765</v>
      </c>
      <c r="S63" s="110">
        <v>30</v>
      </c>
      <c r="T63" s="110">
        <v>10</v>
      </c>
      <c r="U63" s="110">
        <v>5</v>
      </c>
      <c r="V63" s="111">
        <v>0</v>
      </c>
      <c r="W63" s="110">
        <v>0</v>
      </c>
      <c r="X63" s="112">
        <v>1</v>
      </c>
      <c r="Y63" s="112">
        <v>0</v>
      </c>
      <c r="Z63" s="112">
        <v>0</v>
      </c>
      <c r="AC63" s="111">
        <v>0</v>
      </c>
    </row>
    <row r="64" spans="1:29">
      <c r="A64" s="113" t="s">
        <v>1539</v>
      </c>
      <c r="B64" s="113" t="s">
        <v>1502</v>
      </c>
      <c r="C64" s="113" t="s">
        <v>776</v>
      </c>
      <c r="D64" s="113" t="s">
        <v>1524</v>
      </c>
      <c r="E64" s="113" t="s">
        <v>1489</v>
      </c>
      <c r="F64" s="113" t="s">
        <v>1492</v>
      </c>
      <c r="G64" s="113" t="s">
        <v>1502</v>
      </c>
      <c r="M64" s="113" t="s">
        <v>1503</v>
      </c>
      <c r="N64" s="113" t="s">
        <v>1430</v>
      </c>
      <c r="O64" s="109">
        <v>44760</v>
      </c>
      <c r="P64" s="109">
        <v>44819</v>
      </c>
      <c r="Q64" s="109">
        <v>44766</v>
      </c>
      <c r="R64" s="109">
        <v>44772</v>
      </c>
      <c r="S64" s="110">
        <v>31</v>
      </c>
      <c r="T64" s="110">
        <v>11</v>
      </c>
      <c r="U64" s="110">
        <v>5</v>
      </c>
      <c r="V64" s="111">
        <v>0</v>
      </c>
      <c r="W64" s="110">
        <v>0</v>
      </c>
      <c r="X64" s="112">
        <v>1</v>
      </c>
      <c r="Y64" s="112">
        <v>0</v>
      </c>
      <c r="Z64" s="112">
        <v>0</v>
      </c>
      <c r="AC64" s="111">
        <v>0</v>
      </c>
    </row>
    <row r="65" spans="1:29">
      <c r="A65" s="113" t="s">
        <v>1539</v>
      </c>
      <c r="B65" s="113" t="s">
        <v>1502</v>
      </c>
      <c r="C65" s="113" t="s">
        <v>776</v>
      </c>
      <c r="D65" s="113" t="s">
        <v>1524</v>
      </c>
      <c r="E65" s="113" t="s">
        <v>1489</v>
      </c>
      <c r="F65" s="113" t="s">
        <v>1492</v>
      </c>
      <c r="G65" s="113" t="s">
        <v>1502</v>
      </c>
      <c r="M65" s="113" t="s">
        <v>1503</v>
      </c>
      <c r="N65" s="113" t="s">
        <v>1430</v>
      </c>
      <c r="O65" s="109">
        <v>44760</v>
      </c>
      <c r="P65" s="109">
        <v>44819</v>
      </c>
      <c r="Q65" s="109">
        <v>44773</v>
      </c>
      <c r="R65" s="109">
        <v>44779</v>
      </c>
      <c r="S65" s="110">
        <v>32</v>
      </c>
      <c r="T65" s="110">
        <v>12</v>
      </c>
      <c r="U65" s="110">
        <v>5</v>
      </c>
      <c r="V65" s="111">
        <v>0</v>
      </c>
      <c r="W65" s="110">
        <v>0</v>
      </c>
      <c r="X65" s="112">
        <v>1</v>
      </c>
      <c r="Y65" s="112">
        <v>0</v>
      </c>
      <c r="Z65" s="112">
        <v>0</v>
      </c>
      <c r="AC65" s="111">
        <v>0</v>
      </c>
    </row>
    <row r="66" spans="1:29">
      <c r="A66" s="113" t="s">
        <v>1539</v>
      </c>
      <c r="B66" s="113" t="s">
        <v>1502</v>
      </c>
      <c r="C66" s="113" t="s">
        <v>776</v>
      </c>
      <c r="D66" s="113" t="s">
        <v>1524</v>
      </c>
      <c r="E66" s="113" t="s">
        <v>1489</v>
      </c>
      <c r="F66" s="113" t="s">
        <v>1492</v>
      </c>
      <c r="G66" s="113" t="s">
        <v>1502</v>
      </c>
      <c r="M66" s="113" t="s">
        <v>1503</v>
      </c>
      <c r="N66" s="113" t="s">
        <v>1430</v>
      </c>
      <c r="O66" s="109">
        <v>44760</v>
      </c>
      <c r="P66" s="109">
        <v>44819</v>
      </c>
      <c r="Q66" s="109">
        <v>44780</v>
      </c>
      <c r="R66" s="109">
        <v>44786</v>
      </c>
      <c r="S66" s="110">
        <v>33</v>
      </c>
      <c r="T66" s="110">
        <v>13</v>
      </c>
      <c r="U66" s="110">
        <v>5</v>
      </c>
      <c r="V66" s="111">
        <v>0</v>
      </c>
      <c r="W66" s="110">
        <v>0</v>
      </c>
      <c r="X66" s="112">
        <v>1</v>
      </c>
      <c r="Y66" s="112">
        <v>0</v>
      </c>
      <c r="Z66" s="112">
        <v>0</v>
      </c>
      <c r="AC66" s="111">
        <v>0</v>
      </c>
    </row>
    <row r="67" spans="1:29">
      <c r="A67" s="113" t="s">
        <v>1539</v>
      </c>
      <c r="B67" s="113" t="s">
        <v>1502</v>
      </c>
      <c r="C67" s="113" t="s">
        <v>776</v>
      </c>
      <c r="D67" s="113" t="s">
        <v>1524</v>
      </c>
      <c r="E67" s="113" t="s">
        <v>1489</v>
      </c>
      <c r="F67" s="113" t="s">
        <v>1492</v>
      </c>
      <c r="G67" s="113" t="s">
        <v>1502</v>
      </c>
      <c r="M67" s="113" t="s">
        <v>1503</v>
      </c>
      <c r="N67" s="113" t="s">
        <v>1430</v>
      </c>
      <c r="O67" s="109">
        <v>44760</v>
      </c>
      <c r="P67" s="109">
        <v>44819</v>
      </c>
      <c r="Q67" s="109">
        <v>44787</v>
      </c>
      <c r="R67" s="109">
        <v>44793</v>
      </c>
      <c r="S67" s="110">
        <v>34</v>
      </c>
      <c r="T67" s="110">
        <v>14</v>
      </c>
      <c r="U67" s="110">
        <v>4</v>
      </c>
      <c r="V67" s="111">
        <v>0</v>
      </c>
      <c r="W67" s="110">
        <v>0</v>
      </c>
      <c r="X67" s="112">
        <v>1</v>
      </c>
      <c r="Y67" s="112">
        <v>0</v>
      </c>
      <c r="Z67" s="112">
        <v>0</v>
      </c>
      <c r="AC67" s="111">
        <v>0</v>
      </c>
    </row>
    <row r="68" spans="1:29">
      <c r="A68" s="113" t="s">
        <v>1539</v>
      </c>
      <c r="B68" s="113" t="s">
        <v>1502</v>
      </c>
      <c r="C68" s="113" t="s">
        <v>776</v>
      </c>
      <c r="D68" s="113" t="s">
        <v>1524</v>
      </c>
      <c r="E68" s="113" t="s">
        <v>1489</v>
      </c>
      <c r="F68" s="113" t="s">
        <v>1492</v>
      </c>
      <c r="G68" s="113" t="s">
        <v>1502</v>
      </c>
      <c r="M68" s="113" t="s">
        <v>1503</v>
      </c>
      <c r="N68" s="113" t="s">
        <v>1430</v>
      </c>
      <c r="O68" s="109">
        <v>44760</v>
      </c>
      <c r="P68" s="109">
        <v>44819</v>
      </c>
      <c r="Q68" s="109">
        <v>44794</v>
      </c>
      <c r="R68" s="109">
        <v>44800</v>
      </c>
      <c r="S68" s="110">
        <v>35</v>
      </c>
      <c r="T68" s="110">
        <v>15</v>
      </c>
      <c r="U68" s="110">
        <v>5</v>
      </c>
      <c r="V68" s="111">
        <v>0</v>
      </c>
      <c r="W68" s="110">
        <v>0</v>
      </c>
      <c r="X68" s="112">
        <v>1</v>
      </c>
      <c r="Y68" s="112">
        <v>0</v>
      </c>
      <c r="Z68" s="112">
        <v>0</v>
      </c>
      <c r="AC68" s="111">
        <v>0</v>
      </c>
    </row>
    <row r="69" spans="1:29">
      <c r="A69" s="113" t="s">
        <v>1539</v>
      </c>
      <c r="B69" s="113" t="s">
        <v>1502</v>
      </c>
      <c r="C69" s="113" t="s">
        <v>776</v>
      </c>
      <c r="D69" s="113" t="s">
        <v>1524</v>
      </c>
      <c r="E69" s="113" t="s">
        <v>1489</v>
      </c>
      <c r="F69" s="113" t="s">
        <v>1492</v>
      </c>
      <c r="G69" s="113" t="s">
        <v>1502</v>
      </c>
      <c r="M69" s="113" t="s">
        <v>1503</v>
      </c>
      <c r="N69" s="113" t="s">
        <v>1430</v>
      </c>
      <c r="O69" s="109">
        <v>44760</v>
      </c>
      <c r="P69" s="109">
        <v>44819</v>
      </c>
      <c r="Q69" s="109">
        <v>44801</v>
      </c>
      <c r="R69" s="109">
        <v>44807</v>
      </c>
      <c r="S69" s="110">
        <v>36</v>
      </c>
      <c r="T69" s="110">
        <v>16</v>
      </c>
      <c r="U69" s="110">
        <v>5</v>
      </c>
      <c r="V69" s="111">
        <v>0</v>
      </c>
      <c r="W69" s="110">
        <v>0</v>
      </c>
      <c r="X69" s="112">
        <v>1</v>
      </c>
      <c r="Y69" s="112">
        <v>0</v>
      </c>
      <c r="Z69" s="112">
        <v>0</v>
      </c>
      <c r="AC69" s="111">
        <v>0</v>
      </c>
    </row>
    <row r="70" spans="1:29">
      <c r="A70" s="113" t="s">
        <v>1539</v>
      </c>
      <c r="B70" s="113" t="s">
        <v>1502</v>
      </c>
      <c r="C70" s="113" t="s">
        <v>776</v>
      </c>
      <c r="D70" s="113" t="s">
        <v>1524</v>
      </c>
      <c r="E70" s="113" t="s">
        <v>1489</v>
      </c>
      <c r="F70" s="113" t="s">
        <v>1492</v>
      </c>
      <c r="G70" s="113" t="s">
        <v>1502</v>
      </c>
      <c r="M70" s="113" t="s">
        <v>1503</v>
      </c>
      <c r="N70" s="113" t="s">
        <v>1430</v>
      </c>
      <c r="O70" s="109">
        <v>44760</v>
      </c>
      <c r="P70" s="109">
        <v>44819</v>
      </c>
      <c r="Q70" s="109">
        <v>44808</v>
      </c>
      <c r="R70" s="109">
        <v>44814</v>
      </c>
      <c r="S70" s="110">
        <v>37</v>
      </c>
      <c r="T70" s="110">
        <v>17</v>
      </c>
      <c r="U70" s="110">
        <v>4</v>
      </c>
      <c r="V70" s="111">
        <v>0</v>
      </c>
      <c r="W70" s="110">
        <v>0</v>
      </c>
      <c r="X70" s="112">
        <v>1</v>
      </c>
      <c r="Y70" s="112">
        <v>0</v>
      </c>
      <c r="Z70" s="112">
        <v>0</v>
      </c>
      <c r="AC70" s="111">
        <v>0</v>
      </c>
    </row>
    <row r="71" spans="1:29">
      <c r="A71" s="113" t="s">
        <v>1539</v>
      </c>
      <c r="B71" s="113" t="s">
        <v>1502</v>
      </c>
      <c r="C71" s="113" t="s">
        <v>776</v>
      </c>
      <c r="D71" s="113" t="s">
        <v>1524</v>
      </c>
      <c r="E71" s="113" t="s">
        <v>1489</v>
      </c>
      <c r="F71" s="113" t="s">
        <v>1492</v>
      </c>
      <c r="G71" s="113" t="s">
        <v>1502</v>
      </c>
      <c r="M71" s="113" t="s">
        <v>1503</v>
      </c>
      <c r="N71" s="113" t="s">
        <v>1430</v>
      </c>
      <c r="O71" s="109">
        <v>44760</v>
      </c>
      <c r="P71" s="109">
        <v>44819</v>
      </c>
      <c r="Q71" s="109">
        <v>44815</v>
      </c>
      <c r="R71" s="109">
        <v>44821</v>
      </c>
      <c r="S71" s="110">
        <v>38</v>
      </c>
      <c r="T71" s="110">
        <v>18</v>
      </c>
      <c r="U71" s="110">
        <v>3</v>
      </c>
      <c r="V71" s="111">
        <v>0</v>
      </c>
      <c r="W71" s="110">
        <v>0</v>
      </c>
      <c r="X71" s="112">
        <v>1</v>
      </c>
      <c r="Y71" s="112">
        <v>0</v>
      </c>
      <c r="Z71" s="112">
        <v>0</v>
      </c>
      <c r="AC71" s="111">
        <v>0</v>
      </c>
    </row>
    <row r="72" spans="1:29">
      <c r="A72" s="113" t="s">
        <v>1539</v>
      </c>
      <c r="B72" s="113" t="s">
        <v>1504</v>
      </c>
      <c r="C72" s="113" t="s">
        <v>776</v>
      </c>
      <c r="D72" s="113" t="s">
        <v>1524</v>
      </c>
      <c r="E72" s="113" t="s">
        <v>1489</v>
      </c>
      <c r="F72" s="113" t="s">
        <v>1492</v>
      </c>
      <c r="G72" s="113" t="s">
        <v>1504</v>
      </c>
      <c r="M72" s="113" t="s">
        <v>1505</v>
      </c>
      <c r="N72" s="113" t="s">
        <v>1430</v>
      </c>
      <c r="O72" s="109">
        <v>44774</v>
      </c>
      <c r="P72" s="109">
        <v>44819</v>
      </c>
      <c r="Q72" s="109">
        <v>44773</v>
      </c>
      <c r="R72" s="109">
        <v>44779</v>
      </c>
      <c r="S72" s="110">
        <v>32</v>
      </c>
      <c r="T72" s="110">
        <v>12</v>
      </c>
      <c r="U72" s="110">
        <v>5</v>
      </c>
      <c r="V72" s="111">
        <v>0</v>
      </c>
      <c r="W72" s="110">
        <v>0</v>
      </c>
      <c r="X72" s="112">
        <v>1</v>
      </c>
      <c r="Y72" s="112">
        <v>0</v>
      </c>
      <c r="Z72" s="112">
        <v>0</v>
      </c>
      <c r="AC72" s="111">
        <v>0</v>
      </c>
    </row>
    <row r="73" spans="1:29">
      <c r="A73" s="113" t="s">
        <v>1539</v>
      </c>
      <c r="B73" s="113" t="s">
        <v>1504</v>
      </c>
      <c r="C73" s="113" t="s">
        <v>776</v>
      </c>
      <c r="D73" s="113" t="s">
        <v>1524</v>
      </c>
      <c r="E73" s="113" t="s">
        <v>1489</v>
      </c>
      <c r="F73" s="113" t="s">
        <v>1492</v>
      </c>
      <c r="G73" s="113" t="s">
        <v>1504</v>
      </c>
      <c r="M73" s="113" t="s">
        <v>1505</v>
      </c>
      <c r="N73" s="113" t="s">
        <v>1430</v>
      </c>
      <c r="O73" s="109">
        <v>44774</v>
      </c>
      <c r="P73" s="109">
        <v>44819</v>
      </c>
      <c r="Q73" s="109">
        <v>44780</v>
      </c>
      <c r="R73" s="109">
        <v>44786</v>
      </c>
      <c r="S73" s="110">
        <v>33</v>
      </c>
      <c r="T73" s="110">
        <v>13</v>
      </c>
      <c r="U73" s="110">
        <v>5</v>
      </c>
      <c r="V73" s="111">
        <v>0</v>
      </c>
      <c r="W73" s="110">
        <v>0</v>
      </c>
      <c r="X73" s="112">
        <v>1</v>
      </c>
      <c r="Y73" s="112">
        <v>0</v>
      </c>
      <c r="Z73" s="112">
        <v>0</v>
      </c>
      <c r="AC73" s="111">
        <v>0</v>
      </c>
    </row>
    <row r="74" spans="1:29">
      <c r="A74" s="113" t="s">
        <v>1539</v>
      </c>
      <c r="B74" s="113" t="s">
        <v>1504</v>
      </c>
      <c r="C74" s="113" t="s">
        <v>776</v>
      </c>
      <c r="D74" s="113" t="s">
        <v>1524</v>
      </c>
      <c r="E74" s="113" t="s">
        <v>1489</v>
      </c>
      <c r="F74" s="113" t="s">
        <v>1492</v>
      </c>
      <c r="G74" s="113" t="s">
        <v>1504</v>
      </c>
      <c r="M74" s="113" t="s">
        <v>1505</v>
      </c>
      <c r="N74" s="113" t="s">
        <v>1430</v>
      </c>
      <c r="O74" s="109">
        <v>44774</v>
      </c>
      <c r="P74" s="109">
        <v>44819</v>
      </c>
      <c r="Q74" s="109">
        <v>44787</v>
      </c>
      <c r="R74" s="109">
        <v>44793</v>
      </c>
      <c r="S74" s="110">
        <v>34</v>
      </c>
      <c r="T74" s="110">
        <v>14</v>
      </c>
      <c r="U74" s="110">
        <v>4</v>
      </c>
      <c r="V74" s="111">
        <v>0</v>
      </c>
      <c r="W74" s="110">
        <v>0</v>
      </c>
      <c r="X74" s="112">
        <v>1</v>
      </c>
      <c r="Y74" s="112">
        <v>0</v>
      </c>
      <c r="Z74" s="112">
        <v>0</v>
      </c>
      <c r="AC74" s="111">
        <v>0</v>
      </c>
    </row>
    <row r="75" spans="1:29">
      <c r="A75" s="113" t="s">
        <v>1539</v>
      </c>
      <c r="B75" s="113" t="s">
        <v>1504</v>
      </c>
      <c r="C75" s="113" t="s">
        <v>776</v>
      </c>
      <c r="D75" s="113" t="s">
        <v>1524</v>
      </c>
      <c r="E75" s="113" t="s">
        <v>1489</v>
      </c>
      <c r="F75" s="113" t="s">
        <v>1492</v>
      </c>
      <c r="G75" s="113" t="s">
        <v>1504</v>
      </c>
      <c r="M75" s="113" t="s">
        <v>1505</v>
      </c>
      <c r="N75" s="113" t="s">
        <v>1430</v>
      </c>
      <c r="O75" s="109">
        <v>44774</v>
      </c>
      <c r="P75" s="109">
        <v>44819</v>
      </c>
      <c r="Q75" s="109">
        <v>44794</v>
      </c>
      <c r="R75" s="109">
        <v>44800</v>
      </c>
      <c r="S75" s="110">
        <v>35</v>
      </c>
      <c r="T75" s="110">
        <v>15</v>
      </c>
      <c r="U75" s="110">
        <v>5</v>
      </c>
      <c r="V75" s="111">
        <v>0</v>
      </c>
      <c r="W75" s="110">
        <v>0</v>
      </c>
      <c r="X75" s="112">
        <v>1</v>
      </c>
      <c r="Y75" s="112">
        <v>0</v>
      </c>
      <c r="Z75" s="112">
        <v>0</v>
      </c>
      <c r="AC75" s="111">
        <v>0</v>
      </c>
    </row>
    <row r="76" spans="1:29">
      <c r="A76" s="113" t="s">
        <v>1539</v>
      </c>
      <c r="B76" s="113" t="s">
        <v>1504</v>
      </c>
      <c r="C76" s="113" t="s">
        <v>776</v>
      </c>
      <c r="D76" s="113" t="s">
        <v>1524</v>
      </c>
      <c r="E76" s="113" t="s">
        <v>1489</v>
      </c>
      <c r="F76" s="113" t="s">
        <v>1492</v>
      </c>
      <c r="G76" s="113" t="s">
        <v>1504</v>
      </c>
      <c r="M76" s="113" t="s">
        <v>1505</v>
      </c>
      <c r="N76" s="113" t="s">
        <v>1430</v>
      </c>
      <c r="O76" s="109">
        <v>44774</v>
      </c>
      <c r="P76" s="109">
        <v>44819</v>
      </c>
      <c r="Q76" s="109">
        <v>44801</v>
      </c>
      <c r="R76" s="109">
        <v>44807</v>
      </c>
      <c r="S76" s="110">
        <v>36</v>
      </c>
      <c r="T76" s="110">
        <v>16</v>
      </c>
      <c r="U76" s="110">
        <v>5</v>
      </c>
      <c r="V76" s="111">
        <v>0</v>
      </c>
      <c r="W76" s="110">
        <v>0</v>
      </c>
      <c r="X76" s="112">
        <v>1</v>
      </c>
      <c r="Y76" s="112">
        <v>0</v>
      </c>
      <c r="Z76" s="112">
        <v>0</v>
      </c>
      <c r="AC76" s="111">
        <v>0</v>
      </c>
    </row>
    <row r="77" spans="1:29">
      <c r="A77" s="113" t="s">
        <v>1539</v>
      </c>
      <c r="B77" s="113" t="s">
        <v>1504</v>
      </c>
      <c r="C77" s="113" t="s">
        <v>776</v>
      </c>
      <c r="D77" s="113" t="s">
        <v>1524</v>
      </c>
      <c r="E77" s="113" t="s">
        <v>1489</v>
      </c>
      <c r="F77" s="113" t="s">
        <v>1492</v>
      </c>
      <c r="G77" s="113" t="s">
        <v>1504</v>
      </c>
      <c r="M77" s="113" t="s">
        <v>1505</v>
      </c>
      <c r="N77" s="113" t="s">
        <v>1430</v>
      </c>
      <c r="O77" s="109">
        <v>44774</v>
      </c>
      <c r="P77" s="109">
        <v>44819</v>
      </c>
      <c r="Q77" s="109">
        <v>44808</v>
      </c>
      <c r="R77" s="109">
        <v>44814</v>
      </c>
      <c r="S77" s="110">
        <v>37</v>
      </c>
      <c r="T77" s="110">
        <v>17</v>
      </c>
      <c r="U77" s="110">
        <v>4</v>
      </c>
      <c r="V77" s="111">
        <v>0</v>
      </c>
      <c r="W77" s="110">
        <v>0</v>
      </c>
      <c r="X77" s="112">
        <v>1</v>
      </c>
      <c r="Y77" s="112">
        <v>0</v>
      </c>
      <c r="Z77" s="112">
        <v>0</v>
      </c>
      <c r="AC77" s="111">
        <v>0</v>
      </c>
    </row>
    <row r="78" spans="1:29">
      <c r="A78" s="113" t="s">
        <v>1539</v>
      </c>
      <c r="B78" s="113" t="s">
        <v>1504</v>
      </c>
      <c r="C78" s="113" t="s">
        <v>776</v>
      </c>
      <c r="D78" s="113" t="s">
        <v>1524</v>
      </c>
      <c r="E78" s="113" t="s">
        <v>1489</v>
      </c>
      <c r="F78" s="113" t="s">
        <v>1492</v>
      </c>
      <c r="G78" s="113" t="s">
        <v>1504</v>
      </c>
      <c r="M78" s="113" t="s">
        <v>1505</v>
      </c>
      <c r="N78" s="113" t="s">
        <v>1430</v>
      </c>
      <c r="O78" s="109">
        <v>44774</v>
      </c>
      <c r="P78" s="109">
        <v>44819</v>
      </c>
      <c r="Q78" s="109">
        <v>44815</v>
      </c>
      <c r="R78" s="109">
        <v>44821</v>
      </c>
      <c r="S78" s="110">
        <v>38</v>
      </c>
      <c r="T78" s="110">
        <v>18</v>
      </c>
      <c r="U78" s="110">
        <v>3</v>
      </c>
      <c r="V78" s="111">
        <v>0</v>
      </c>
      <c r="W78" s="110">
        <v>0</v>
      </c>
      <c r="X78" s="112">
        <v>1</v>
      </c>
      <c r="Y78" s="112">
        <v>0</v>
      </c>
      <c r="Z78" s="112">
        <v>0</v>
      </c>
      <c r="AC78" s="111">
        <v>0</v>
      </c>
    </row>
    <row r="79" spans="1:29">
      <c r="A79" s="113" t="s">
        <v>1533</v>
      </c>
      <c r="B79" s="113" t="s">
        <v>1507</v>
      </c>
      <c r="C79" s="113" t="s">
        <v>776</v>
      </c>
      <c r="D79" s="113" t="s">
        <v>1524</v>
      </c>
      <c r="E79" s="113" t="s">
        <v>1506</v>
      </c>
      <c r="F79" s="113" t="s">
        <v>1507</v>
      </c>
      <c r="M79" s="113" t="s">
        <v>1508</v>
      </c>
      <c r="N79" s="113" t="s">
        <v>1430</v>
      </c>
      <c r="O79" s="109">
        <v>44802</v>
      </c>
      <c r="P79" s="109">
        <v>44820</v>
      </c>
      <c r="Q79" s="109">
        <v>44801</v>
      </c>
      <c r="R79" s="109">
        <v>44807</v>
      </c>
      <c r="S79" s="110">
        <v>36</v>
      </c>
      <c r="T79" s="110">
        <v>16</v>
      </c>
      <c r="U79" s="110">
        <v>5</v>
      </c>
      <c r="V79" s="111">
        <v>0</v>
      </c>
      <c r="W79" s="110">
        <v>0</v>
      </c>
      <c r="X79" s="112">
        <v>1</v>
      </c>
      <c r="Y79" s="112">
        <v>0</v>
      </c>
      <c r="Z79" s="112">
        <v>0</v>
      </c>
      <c r="AC79" s="111">
        <v>0</v>
      </c>
    </row>
    <row r="80" spans="1:29">
      <c r="A80" s="113" t="s">
        <v>1533</v>
      </c>
      <c r="B80" s="113" t="s">
        <v>1507</v>
      </c>
      <c r="C80" s="113" t="s">
        <v>776</v>
      </c>
      <c r="D80" s="113" t="s">
        <v>1524</v>
      </c>
      <c r="E80" s="113" t="s">
        <v>1506</v>
      </c>
      <c r="F80" s="113" t="s">
        <v>1507</v>
      </c>
      <c r="M80" s="113" t="s">
        <v>1508</v>
      </c>
      <c r="N80" s="113" t="s">
        <v>1430</v>
      </c>
      <c r="O80" s="109">
        <v>44802</v>
      </c>
      <c r="P80" s="109">
        <v>44820</v>
      </c>
      <c r="Q80" s="109">
        <v>44808</v>
      </c>
      <c r="R80" s="109">
        <v>44814</v>
      </c>
      <c r="S80" s="110">
        <v>37</v>
      </c>
      <c r="T80" s="110">
        <v>17</v>
      </c>
      <c r="U80" s="110">
        <v>4</v>
      </c>
      <c r="V80" s="111">
        <v>0</v>
      </c>
      <c r="W80" s="110">
        <v>0</v>
      </c>
      <c r="X80" s="112">
        <v>1</v>
      </c>
      <c r="Y80" s="112">
        <v>0</v>
      </c>
      <c r="Z80" s="112">
        <v>0</v>
      </c>
      <c r="AC80" s="111">
        <v>0</v>
      </c>
    </row>
    <row r="81" spans="1:29">
      <c r="A81" s="113" t="s">
        <v>1533</v>
      </c>
      <c r="B81" s="113" t="s">
        <v>1507</v>
      </c>
      <c r="C81" s="113" t="s">
        <v>776</v>
      </c>
      <c r="D81" s="113" t="s">
        <v>1524</v>
      </c>
      <c r="E81" s="113" t="s">
        <v>1506</v>
      </c>
      <c r="F81" s="113" t="s">
        <v>1507</v>
      </c>
      <c r="M81" s="113" t="s">
        <v>1508</v>
      </c>
      <c r="N81" s="113" t="s">
        <v>1430</v>
      </c>
      <c r="O81" s="109">
        <v>44802</v>
      </c>
      <c r="P81" s="109">
        <v>44820</v>
      </c>
      <c r="Q81" s="109">
        <v>44815</v>
      </c>
      <c r="R81" s="109">
        <v>44821</v>
      </c>
      <c r="S81" s="110">
        <v>38</v>
      </c>
      <c r="T81" s="110">
        <v>18</v>
      </c>
      <c r="U81" s="110">
        <v>4</v>
      </c>
      <c r="V81" s="111">
        <v>0</v>
      </c>
      <c r="W81" s="110">
        <v>0</v>
      </c>
      <c r="X81" s="112">
        <v>1</v>
      </c>
      <c r="Y81" s="112">
        <v>0</v>
      </c>
      <c r="Z81" s="112">
        <v>0</v>
      </c>
      <c r="AC81" s="111">
        <v>0</v>
      </c>
    </row>
    <row r="82" spans="1:29">
      <c r="A82" s="113" t="s">
        <v>1533</v>
      </c>
      <c r="B82" s="113" t="s">
        <v>1509</v>
      </c>
      <c r="C82" s="113" t="s">
        <v>776</v>
      </c>
      <c r="D82" s="113" t="s">
        <v>1524</v>
      </c>
      <c r="E82" s="113" t="s">
        <v>1506</v>
      </c>
      <c r="F82" s="113" t="s">
        <v>1509</v>
      </c>
      <c r="M82" s="113" t="s">
        <v>1510</v>
      </c>
      <c r="N82" s="113" t="s">
        <v>1430</v>
      </c>
      <c r="O82" s="109">
        <v>44823</v>
      </c>
      <c r="P82" s="109">
        <v>44827</v>
      </c>
      <c r="Q82" s="109">
        <v>44822</v>
      </c>
      <c r="R82" s="109">
        <v>44828</v>
      </c>
      <c r="S82" s="110">
        <v>39</v>
      </c>
      <c r="T82" s="110">
        <v>19</v>
      </c>
      <c r="U82" s="110">
        <v>5</v>
      </c>
      <c r="V82" s="111">
        <v>0</v>
      </c>
      <c r="W82" s="110">
        <v>0</v>
      </c>
      <c r="X82" s="112">
        <v>1</v>
      </c>
      <c r="Y82" s="112">
        <v>0</v>
      </c>
      <c r="Z82" s="112">
        <v>0</v>
      </c>
      <c r="AC82" s="111">
        <v>0</v>
      </c>
    </row>
    <row r="83" spans="1:29">
      <c r="A83" s="113" t="s">
        <v>1533</v>
      </c>
      <c r="B83" s="113" t="s">
        <v>1512</v>
      </c>
      <c r="C83" s="113" t="s">
        <v>776</v>
      </c>
      <c r="D83" s="113" t="s">
        <v>1525</v>
      </c>
      <c r="E83" s="113" t="s">
        <v>1511</v>
      </c>
      <c r="F83" s="113" t="s">
        <v>1512</v>
      </c>
      <c r="M83" s="113" t="s">
        <v>1513</v>
      </c>
      <c r="N83" s="113" t="s">
        <v>1430</v>
      </c>
      <c r="O83" s="109">
        <v>44823</v>
      </c>
      <c r="P83" s="109">
        <v>44825</v>
      </c>
      <c r="Q83" s="109">
        <v>44822</v>
      </c>
      <c r="R83" s="109">
        <v>44828</v>
      </c>
      <c r="S83" s="110">
        <v>39</v>
      </c>
      <c r="T83" s="110">
        <v>19</v>
      </c>
      <c r="U83" s="110">
        <v>3</v>
      </c>
      <c r="V83" s="111">
        <v>0</v>
      </c>
      <c r="W83" s="110">
        <v>0</v>
      </c>
      <c r="X83" s="112">
        <v>1</v>
      </c>
      <c r="Y83" s="112">
        <v>0</v>
      </c>
      <c r="Z83" s="112">
        <v>0</v>
      </c>
      <c r="AC83" s="111">
        <v>0</v>
      </c>
    </row>
    <row r="84" spans="1:29">
      <c r="A84" s="113" t="s">
        <v>1533</v>
      </c>
      <c r="B84" s="113" t="s">
        <v>1515</v>
      </c>
      <c r="C84" s="113" t="s">
        <v>776</v>
      </c>
      <c r="D84" s="113" t="s">
        <v>1525</v>
      </c>
      <c r="E84" s="113" t="s">
        <v>1514</v>
      </c>
      <c r="F84" s="113" t="s">
        <v>1515</v>
      </c>
      <c r="M84" s="113" t="s">
        <v>1516</v>
      </c>
      <c r="N84" s="113" t="s">
        <v>1430</v>
      </c>
      <c r="O84" s="109">
        <v>44827</v>
      </c>
      <c r="P84" s="109">
        <v>44830</v>
      </c>
      <c r="Q84" s="109">
        <v>44822</v>
      </c>
      <c r="R84" s="109">
        <v>44828</v>
      </c>
      <c r="S84" s="110">
        <v>39</v>
      </c>
      <c r="T84" s="110">
        <v>19</v>
      </c>
      <c r="U84" s="110">
        <v>1</v>
      </c>
      <c r="V84" s="111">
        <v>0</v>
      </c>
      <c r="W84" s="110">
        <v>0</v>
      </c>
      <c r="X84" s="112">
        <v>1</v>
      </c>
      <c r="Y84" s="112">
        <v>0</v>
      </c>
      <c r="Z84" s="112">
        <v>0</v>
      </c>
      <c r="AC84" s="111">
        <v>0</v>
      </c>
    </row>
    <row r="85" spans="1:29">
      <c r="A85" s="113" t="s">
        <v>1533</v>
      </c>
      <c r="B85" s="113" t="s">
        <v>1515</v>
      </c>
      <c r="C85" s="113" t="s">
        <v>776</v>
      </c>
      <c r="D85" s="113" t="s">
        <v>1525</v>
      </c>
      <c r="E85" s="113" t="s">
        <v>1514</v>
      </c>
      <c r="F85" s="113" t="s">
        <v>1515</v>
      </c>
      <c r="M85" s="113" t="s">
        <v>1516</v>
      </c>
      <c r="N85" s="113" t="s">
        <v>1430</v>
      </c>
      <c r="O85" s="109">
        <v>44827</v>
      </c>
      <c r="P85" s="109">
        <v>44830</v>
      </c>
      <c r="Q85" s="109">
        <v>44829</v>
      </c>
      <c r="R85" s="109">
        <v>44835</v>
      </c>
      <c r="S85" s="110">
        <v>40</v>
      </c>
      <c r="T85" s="110">
        <v>20</v>
      </c>
      <c r="U85" s="110">
        <v>1</v>
      </c>
      <c r="V85" s="111">
        <v>0</v>
      </c>
      <c r="W85" s="110">
        <v>0</v>
      </c>
      <c r="X85" s="112">
        <v>1</v>
      </c>
      <c r="Y85" s="112">
        <v>0</v>
      </c>
      <c r="Z85" s="112">
        <v>0</v>
      </c>
      <c r="AC85" s="111">
        <v>0</v>
      </c>
    </row>
    <row r="86" spans="1:29">
      <c r="A86" s="113" t="s">
        <v>1533</v>
      </c>
      <c r="B86" s="113" t="s">
        <v>1517</v>
      </c>
      <c r="C86" s="113" t="s">
        <v>776</v>
      </c>
      <c r="D86" s="113" t="s">
        <v>1525</v>
      </c>
      <c r="E86" s="113" t="s">
        <v>1514</v>
      </c>
      <c r="F86" s="113" t="s">
        <v>1517</v>
      </c>
      <c r="M86" s="113" t="s">
        <v>1518</v>
      </c>
      <c r="N86" s="113" t="s">
        <v>1430</v>
      </c>
      <c r="O86" s="109">
        <v>44831</v>
      </c>
      <c r="P86" s="109">
        <v>44833</v>
      </c>
      <c r="Q86" s="109">
        <v>44829</v>
      </c>
      <c r="R86" s="109">
        <v>44835</v>
      </c>
      <c r="S86" s="110">
        <v>40</v>
      </c>
      <c r="T86" s="110">
        <v>20</v>
      </c>
      <c r="U86" s="110">
        <v>3</v>
      </c>
      <c r="V86" s="111">
        <v>0</v>
      </c>
      <c r="W86" s="110">
        <v>0</v>
      </c>
      <c r="X86" s="112">
        <v>1</v>
      </c>
      <c r="Y86" s="112">
        <v>0</v>
      </c>
      <c r="Z86" s="112">
        <v>0</v>
      </c>
      <c r="AC86" s="111">
        <v>0</v>
      </c>
    </row>
    <row r="87" spans="1:29">
      <c r="A87" s="113" t="s">
        <v>1533</v>
      </c>
      <c r="B87" s="113" t="s">
        <v>1519</v>
      </c>
      <c r="C87" s="113" t="s">
        <v>776</v>
      </c>
      <c r="D87" s="113" t="s">
        <v>1525</v>
      </c>
      <c r="E87" s="113" t="s">
        <v>1514</v>
      </c>
      <c r="F87" s="113" t="s">
        <v>1519</v>
      </c>
      <c r="M87" s="113" t="s">
        <v>1520</v>
      </c>
      <c r="N87" s="113" t="s">
        <v>1430</v>
      </c>
      <c r="O87" s="109">
        <v>44834</v>
      </c>
      <c r="P87" s="109">
        <v>44839</v>
      </c>
      <c r="Q87" s="109">
        <v>44829</v>
      </c>
      <c r="R87" s="109">
        <v>44835</v>
      </c>
      <c r="S87" s="110">
        <v>40</v>
      </c>
      <c r="T87" s="110">
        <v>20</v>
      </c>
      <c r="U87" s="110">
        <v>1</v>
      </c>
      <c r="V87" s="111">
        <v>0</v>
      </c>
      <c r="W87" s="110">
        <v>0</v>
      </c>
      <c r="X87" s="112">
        <v>1</v>
      </c>
      <c r="Y87" s="112">
        <v>0</v>
      </c>
      <c r="Z87" s="112">
        <v>0</v>
      </c>
      <c r="AC87" s="111">
        <v>0</v>
      </c>
    </row>
    <row r="88" spans="1:29">
      <c r="A88" s="113" t="s">
        <v>1533</v>
      </c>
      <c r="B88" s="113" t="s">
        <v>1519</v>
      </c>
      <c r="C88" s="113" t="s">
        <v>776</v>
      </c>
      <c r="D88" s="113" t="s">
        <v>1525</v>
      </c>
      <c r="E88" s="113" t="s">
        <v>1514</v>
      </c>
      <c r="F88" s="113" t="s">
        <v>1519</v>
      </c>
      <c r="M88" s="113" t="s">
        <v>1520</v>
      </c>
      <c r="N88" s="113" t="s">
        <v>1430</v>
      </c>
      <c r="O88" s="109">
        <v>44834</v>
      </c>
      <c r="P88" s="109">
        <v>44839</v>
      </c>
      <c r="Q88" s="109">
        <v>44836</v>
      </c>
      <c r="R88" s="109">
        <v>44842</v>
      </c>
      <c r="S88" s="110">
        <v>41</v>
      </c>
      <c r="T88" s="110">
        <v>21</v>
      </c>
      <c r="U88" s="110">
        <v>2</v>
      </c>
      <c r="V88" s="111">
        <v>0</v>
      </c>
      <c r="W88" s="110">
        <v>0</v>
      </c>
      <c r="X88" s="112">
        <v>1</v>
      </c>
      <c r="Y88" s="112">
        <v>0</v>
      </c>
      <c r="Z88" s="112">
        <v>0</v>
      </c>
      <c r="AC88" s="111">
        <v>0</v>
      </c>
    </row>
    <row r="89" spans="1:29">
      <c r="A89" s="113" t="s">
        <v>1533</v>
      </c>
      <c r="B89" s="113" t="s">
        <v>1521</v>
      </c>
      <c r="C89" s="113" t="s">
        <v>776</v>
      </c>
      <c r="D89" s="113" t="s">
        <v>1525</v>
      </c>
      <c r="E89" s="113" t="s">
        <v>1514</v>
      </c>
      <c r="F89" s="113" t="s">
        <v>1521</v>
      </c>
      <c r="M89" s="113" t="s">
        <v>1522</v>
      </c>
      <c r="N89" s="113" t="s">
        <v>1430</v>
      </c>
      <c r="O89" s="109">
        <v>44840</v>
      </c>
      <c r="P89" s="109">
        <v>44840</v>
      </c>
      <c r="Q89" s="109">
        <v>44836</v>
      </c>
      <c r="R89" s="109">
        <v>44842</v>
      </c>
      <c r="S89" s="110">
        <v>41</v>
      </c>
      <c r="T89" s="110">
        <v>21</v>
      </c>
      <c r="U89" s="110">
        <v>0</v>
      </c>
      <c r="V89" s="111">
        <v>0</v>
      </c>
      <c r="W89" s="110">
        <v>0</v>
      </c>
      <c r="X89" s="112">
        <v>0</v>
      </c>
      <c r="Y89" s="112">
        <v>0</v>
      </c>
      <c r="Z89" s="112">
        <v>0</v>
      </c>
      <c r="AC89" s="111">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72" customWidth="1"/>
    <col min="2" max="2" width="33.25" style="72" bestFit="1" customWidth="1"/>
    <col min="3" max="3" width="20.25" style="70" customWidth="1"/>
    <col min="4" max="4" width="23.125" style="70" customWidth="1"/>
    <col min="5" max="5" width="10" style="70" customWidth="1"/>
    <col min="6" max="6" width="15.25" style="70" customWidth="1"/>
    <col min="7" max="7" width="21.25" style="70" bestFit="1" customWidth="1"/>
    <col min="8" max="8" width="40.375" style="72" customWidth="1"/>
    <col min="9" max="9" width="23.625" style="72" bestFit="1" customWidth="1"/>
    <col min="10" max="10" width="9.5" style="72" bestFit="1" customWidth="1"/>
    <col min="11" max="11" width="22.5" style="72" bestFit="1" customWidth="1"/>
    <col min="12" max="12" width="60.75" style="72" bestFit="1" customWidth="1"/>
    <col min="13" max="13" width="25.125" style="72" bestFit="1" customWidth="1"/>
    <col min="14" max="14" width="4.75" style="72" bestFit="1" customWidth="1"/>
    <col min="15" max="15" width="23" style="72" bestFit="1" customWidth="1"/>
    <col min="16" max="16" width="8" style="72" bestFit="1" customWidth="1"/>
    <col min="17" max="17" width="28.375" style="72" bestFit="1" customWidth="1"/>
    <col min="18" max="18" width="6" style="72" bestFit="1" customWidth="1"/>
    <col min="19" max="19" width="27.75" style="72" bestFit="1" customWidth="1"/>
    <col min="20" max="20" width="4.75" style="72" bestFit="1" customWidth="1"/>
    <col min="21" max="21" width="24.375" style="72" bestFit="1" customWidth="1"/>
    <col min="22" max="22" width="4.25" style="72" bestFit="1" customWidth="1"/>
    <col min="23" max="23" width="28.875" style="72" bestFit="1" customWidth="1"/>
    <col min="24" max="24" width="8" style="72" bestFit="1" customWidth="1"/>
    <col min="25" max="25" width="22.625" style="72" bestFit="1" customWidth="1"/>
    <col min="26" max="26" width="4.875" style="72" bestFit="1" customWidth="1"/>
    <col min="27" max="27" width="24.375" style="72" hidden="1" customWidth="1"/>
    <col min="28" max="28" width="7.375" style="72" hidden="1" customWidth="1"/>
    <col min="29" max="29" width="19.75" style="72" bestFit="1" customWidth="1"/>
    <col min="30" max="30" width="4.25" style="72" bestFit="1" customWidth="1"/>
    <col min="31" max="31" width="15.375" style="72" bestFit="1" customWidth="1"/>
    <col min="32" max="32" width="39.625" style="72" bestFit="1" customWidth="1"/>
    <col min="33" max="33" width="35.75" style="72" bestFit="1" customWidth="1"/>
    <col min="34" max="34" width="4.875" style="72" bestFit="1" customWidth="1"/>
    <col min="35" max="35" width="24.25" style="72" bestFit="1" customWidth="1"/>
    <col min="36" max="36" width="8.75" style="72" bestFit="1" customWidth="1"/>
    <col min="37" max="37" width="26" style="72" bestFit="1" customWidth="1"/>
    <col min="38" max="38" width="4.625" style="72" bestFit="1" customWidth="1"/>
    <col min="39" max="39" width="35.625" style="72" bestFit="1" customWidth="1"/>
    <col min="40" max="40" width="33.375" style="72" bestFit="1" customWidth="1"/>
    <col min="41" max="41" width="22.625" style="72" bestFit="1" customWidth="1"/>
    <col min="42" max="42" width="5.25" style="72" bestFit="1" customWidth="1"/>
    <col min="43" max="43" width="16.625" style="72" bestFit="1" customWidth="1"/>
    <col min="44" max="44" width="93.375" style="72" bestFit="1" customWidth="1"/>
    <col min="45" max="45" width="21" style="72" bestFit="1" customWidth="1"/>
    <col min="46" max="46" width="5.5" style="72" bestFit="1" customWidth="1"/>
    <col min="47" max="47" width="14.875" style="72" bestFit="1" customWidth="1"/>
    <col min="48" max="48" width="28.625" style="72" bestFit="1" customWidth="1"/>
    <col min="49" max="49" width="22.625" style="72" bestFit="1" customWidth="1"/>
    <col min="50" max="50" width="4.875" style="72" bestFit="1" customWidth="1"/>
    <col min="51" max="51" width="15.625" style="72" bestFit="1" customWidth="1"/>
    <col min="52" max="53" width="13.125" style="72" bestFit="1" customWidth="1"/>
    <col min="54" max="55" width="14.875" style="72" bestFit="1" customWidth="1"/>
    <col min="56" max="57" width="22.625" style="72" bestFit="1" customWidth="1"/>
    <col min="58" max="59" width="15.625" style="72" bestFit="1" customWidth="1"/>
    <col min="60" max="61" width="13.125" style="72" bestFit="1" customWidth="1"/>
    <col min="62" max="63" width="14.875" style="72" bestFit="1" customWidth="1"/>
    <col min="64" max="65" width="22.625" style="72" bestFit="1" customWidth="1"/>
    <col min="66" max="66" width="10" style="72"/>
    <col min="67" max="67" width="33.75" style="72" bestFit="1" customWidth="1"/>
    <col min="68" max="16384" width="10" style="72"/>
  </cols>
  <sheetData>
    <row r="1" spans="1:8" s="70" customFormat="1">
      <c r="A1" s="69" t="s">
        <v>658</v>
      </c>
      <c r="B1" s="69" t="s">
        <v>655</v>
      </c>
      <c r="C1" s="69" t="s">
        <v>656</v>
      </c>
      <c r="D1" s="69" t="s">
        <v>657</v>
      </c>
      <c r="E1" s="69" t="s">
        <v>3</v>
      </c>
      <c r="F1" s="69" t="s">
        <v>4</v>
      </c>
      <c r="G1" s="69" t="s">
        <v>5</v>
      </c>
      <c r="H1" s="69" t="s">
        <v>659</v>
      </c>
    </row>
    <row r="2" spans="1:8">
      <c r="A2" s="177" t="s">
        <v>654</v>
      </c>
      <c r="B2" s="178" t="s">
        <v>6</v>
      </c>
      <c r="C2" s="179" t="s">
        <v>7</v>
      </c>
      <c r="D2" s="179"/>
      <c r="E2" s="179"/>
      <c r="F2" s="179"/>
      <c r="G2" s="179"/>
      <c r="H2" s="179" t="s">
        <v>8</v>
      </c>
    </row>
    <row r="3" spans="1:8">
      <c r="A3" s="177" t="s">
        <v>654</v>
      </c>
      <c r="B3" s="178" t="s">
        <v>338</v>
      </c>
      <c r="C3" s="179" t="s">
        <v>7</v>
      </c>
      <c r="D3" s="179"/>
      <c r="E3" s="179"/>
      <c r="F3" s="179"/>
      <c r="G3" s="179"/>
      <c r="H3" s="179" t="s">
        <v>8</v>
      </c>
    </row>
    <row r="4" spans="1:8">
      <c r="A4" s="177" t="s">
        <v>654</v>
      </c>
      <c r="B4" s="178" t="s">
        <v>9</v>
      </c>
      <c r="C4" s="195" t="s">
        <v>339</v>
      </c>
      <c r="D4" s="179"/>
      <c r="E4" s="179"/>
      <c r="F4" s="179"/>
      <c r="G4" s="179"/>
      <c r="H4" s="179" t="s">
        <v>8</v>
      </c>
    </row>
    <row r="5" spans="1:8">
      <c r="A5" s="177" t="s">
        <v>654</v>
      </c>
      <c r="B5" s="178" t="s">
        <v>10</v>
      </c>
      <c r="C5" s="179" t="s">
        <v>11</v>
      </c>
      <c r="D5" s="179"/>
      <c r="E5" s="179"/>
      <c r="F5" s="179"/>
      <c r="G5" s="179"/>
      <c r="H5" s="179" t="s">
        <v>8</v>
      </c>
    </row>
    <row r="6" spans="1:8" ht="13.5">
      <c r="A6" s="177" t="s">
        <v>654</v>
      </c>
      <c r="B6" s="178" t="s">
        <v>12</v>
      </c>
      <c r="C6" s="196" t="s">
        <v>782</v>
      </c>
      <c r="D6" s="179"/>
      <c r="E6" s="179"/>
      <c r="F6" s="179"/>
      <c r="G6" s="179"/>
      <c r="H6" s="179" t="s">
        <v>8</v>
      </c>
    </row>
    <row r="7" spans="1:8">
      <c r="A7" s="177" t="s">
        <v>654</v>
      </c>
      <c r="B7" s="178" t="s">
        <v>13</v>
      </c>
      <c r="C7" s="178" t="s">
        <v>7</v>
      </c>
      <c r="D7" s="179"/>
      <c r="E7" s="179"/>
      <c r="F7" s="179"/>
      <c r="G7" s="179"/>
      <c r="H7" s="179" t="s">
        <v>8</v>
      </c>
    </row>
    <row r="8" spans="1:8">
      <c r="A8" s="198" t="s">
        <v>654</v>
      </c>
      <c r="B8" s="199" t="s">
        <v>14</v>
      </c>
      <c r="C8" s="200" t="s">
        <v>726</v>
      </c>
      <c r="D8" s="201" t="s">
        <v>1736</v>
      </c>
      <c r="E8" s="201">
        <v>82</v>
      </c>
      <c r="F8" s="201"/>
      <c r="G8" s="198"/>
      <c r="H8" s="201" t="s">
        <v>736</v>
      </c>
    </row>
    <row r="9" spans="1:8">
      <c r="A9" s="177" t="s">
        <v>654</v>
      </c>
      <c r="B9" s="178" t="s">
        <v>15</v>
      </c>
      <c r="C9" s="197">
        <v>44717</v>
      </c>
      <c r="D9" s="179"/>
      <c r="E9" s="179"/>
      <c r="F9" s="179"/>
      <c r="G9" s="179"/>
      <c r="H9" s="179" t="s">
        <v>8</v>
      </c>
    </row>
    <row r="10" spans="1:8" s="71" customFormat="1">
      <c r="A10" s="178" t="s">
        <v>654</v>
      </c>
      <c r="B10" s="178" t="s">
        <v>16</v>
      </c>
      <c r="C10" s="179" t="s">
        <v>17</v>
      </c>
      <c r="D10" s="179"/>
      <c r="E10" s="179"/>
      <c r="F10" s="179"/>
      <c r="G10" s="179"/>
      <c r="H10" s="179" t="s">
        <v>8</v>
      </c>
    </row>
    <row r="11" spans="1:8">
      <c r="A11" s="72" t="s">
        <v>777</v>
      </c>
      <c r="B11" s="72" t="s">
        <v>751</v>
      </c>
      <c r="C11" s="70">
        <v>1</v>
      </c>
      <c r="G11" s="74">
        <v>44832.58929398148</v>
      </c>
    </row>
    <row r="12" spans="1:8">
      <c r="A12" s="72" t="s">
        <v>777</v>
      </c>
      <c r="B12" s="72" t="s">
        <v>750</v>
      </c>
      <c r="C12" s="70">
        <v>1</v>
      </c>
    </row>
    <row r="13" spans="1:8">
      <c r="A13" s="72" t="s">
        <v>777</v>
      </c>
      <c r="B13" s="72" t="s">
        <v>696</v>
      </c>
      <c r="C13" s="70">
        <v>1</v>
      </c>
      <c r="G13" s="74">
        <v>44832.58929398148</v>
      </c>
    </row>
    <row r="14" spans="1:8">
      <c r="A14" s="72" t="s">
        <v>777</v>
      </c>
      <c r="B14" s="72" t="s">
        <v>697</v>
      </c>
      <c r="C14" s="70">
        <v>0</v>
      </c>
      <c r="G14" s="74">
        <v>44832.58929398148</v>
      </c>
    </row>
    <row r="15" spans="1:8">
      <c r="A15" s="72" t="s">
        <v>777</v>
      </c>
      <c r="B15" s="72" t="s">
        <v>695</v>
      </c>
      <c r="C15" s="70">
        <v>1</v>
      </c>
      <c r="G15" s="74">
        <v>44832.58929398148</v>
      </c>
    </row>
    <row r="16" spans="1:8">
      <c r="A16" s="72" t="s">
        <v>777</v>
      </c>
      <c r="B16" s="72" t="s">
        <v>738</v>
      </c>
      <c r="C16" s="70">
        <v>1</v>
      </c>
      <c r="G16" s="74">
        <v>44832.58929398148</v>
      </c>
    </row>
    <row r="17" spans="1:7">
      <c r="A17" s="72" t="s">
        <v>777</v>
      </c>
      <c r="B17" s="72" t="s">
        <v>745</v>
      </c>
      <c r="C17" s="70">
        <v>1</v>
      </c>
      <c r="G17" s="74">
        <v>44832.58929398148</v>
      </c>
    </row>
    <row r="18" spans="1:7">
      <c r="A18" s="72" t="s">
        <v>777</v>
      </c>
      <c r="B18" s="72" t="s">
        <v>746</v>
      </c>
      <c r="C18" s="70">
        <v>1</v>
      </c>
      <c r="G18" s="74">
        <v>44832.58929398148</v>
      </c>
    </row>
    <row r="19" spans="1:7">
      <c r="A19" s="72" t="s">
        <v>777</v>
      </c>
      <c r="B19" s="72" t="s">
        <v>744</v>
      </c>
      <c r="C19" s="70" t="s">
        <v>1575</v>
      </c>
      <c r="G19" s="74">
        <v>44832.58929398148</v>
      </c>
    </row>
    <row r="20" spans="1:7">
      <c r="A20" s="72" t="s">
        <v>777</v>
      </c>
      <c r="B20" s="72" t="s">
        <v>698</v>
      </c>
      <c r="C20" s="70">
        <v>0</v>
      </c>
      <c r="G20" s="74">
        <v>44832.58929398148</v>
      </c>
    </row>
    <row r="21" spans="1:7">
      <c r="A21" s="72" t="s">
        <v>777</v>
      </c>
      <c r="B21" s="72" t="s">
        <v>743</v>
      </c>
      <c r="C21" s="70">
        <v>0</v>
      </c>
      <c r="G21" s="74">
        <v>44832.58929398148</v>
      </c>
    </row>
    <row r="22" spans="1:7">
      <c r="A22" s="72" t="s">
        <v>777</v>
      </c>
      <c r="B22" s="72" t="s">
        <v>747</v>
      </c>
      <c r="C22" s="70">
        <v>1</v>
      </c>
      <c r="G22" s="74">
        <v>44832.58929398148</v>
      </c>
    </row>
    <row r="23" spans="1:7">
      <c r="A23" s="72" t="s">
        <v>777</v>
      </c>
      <c r="B23" s="72" t="s">
        <v>700</v>
      </c>
      <c r="C23" s="70">
        <v>1</v>
      </c>
      <c r="G23" s="74">
        <v>44832.58929398148</v>
      </c>
    </row>
    <row r="24" spans="1:7">
      <c r="A24" s="72" t="s">
        <v>777</v>
      </c>
      <c r="B24" s="72" t="s">
        <v>740</v>
      </c>
      <c r="C24" s="73">
        <v>44893</v>
      </c>
      <c r="G24" s="74">
        <v>44895.649351851855</v>
      </c>
    </row>
    <row r="25" spans="1:7">
      <c r="A25" s="72" t="s">
        <v>777</v>
      </c>
      <c r="B25" s="72" t="s">
        <v>737</v>
      </c>
      <c r="C25" s="70" t="s">
        <v>1737</v>
      </c>
      <c r="G25" s="74">
        <v>44832.58929398148</v>
      </c>
    </row>
    <row r="26" spans="1:7">
      <c r="A26" s="72" t="s">
        <v>777</v>
      </c>
      <c r="B26" s="72" t="s">
        <v>739</v>
      </c>
      <c r="C26" s="73">
        <v>44811</v>
      </c>
      <c r="G26" s="74">
        <v>44895.649351851855</v>
      </c>
    </row>
    <row r="27" spans="1:7">
      <c r="A27" s="72" t="s">
        <v>777</v>
      </c>
      <c r="B27" s="72" t="s">
        <v>741</v>
      </c>
      <c r="C27" s="70" t="s">
        <v>1613</v>
      </c>
      <c r="G27" s="74">
        <v>44895.647418981483</v>
      </c>
    </row>
    <row r="28" spans="1:7">
      <c r="A28" s="72" t="s">
        <v>777</v>
      </c>
      <c r="B28" s="72" t="s">
        <v>742</v>
      </c>
      <c r="C28" s="70">
        <v>1</v>
      </c>
      <c r="G28" s="74">
        <v>44832.58929398148</v>
      </c>
    </row>
    <row r="29" spans="1:7">
      <c r="A29" s="72" t="s">
        <v>777</v>
      </c>
      <c r="B29" s="72" t="s">
        <v>748</v>
      </c>
      <c r="C29" s="70">
        <v>20</v>
      </c>
      <c r="G29" s="74">
        <v>44832.58929398148</v>
      </c>
    </row>
    <row r="30" spans="1:7">
      <c r="A30" s="72" t="s">
        <v>777</v>
      </c>
      <c r="B30" s="72" t="s">
        <v>749</v>
      </c>
      <c r="C30" s="70">
        <v>10</v>
      </c>
      <c r="G30" s="74">
        <v>44832.58929398148</v>
      </c>
    </row>
    <row r="31" spans="1:7">
      <c r="A31" s="72" t="s">
        <v>1354</v>
      </c>
      <c r="B31" s="72" t="s">
        <v>1355</v>
      </c>
      <c r="C31" s="70">
        <v>-4135</v>
      </c>
      <c r="F31" s="74"/>
      <c r="G31" s="74">
        <v>44895.649351851855</v>
      </c>
    </row>
    <row r="32" spans="1:7">
      <c r="A32" s="72" t="s">
        <v>778</v>
      </c>
      <c r="B32" s="72" t="s">
        <v>759</v>
      </c>
      <c r="C32" s="70">
        <v>1</v>
      </c>
      <c r="G32" s="74">
        <v>44832.58929398148</v>
      </c>
    </row>
    <row r="33" spans="1:7">
      <c r="A33" s="72" t="s">
        <v>778</v>
      </c>
      <c r="B33" s="72" t="s">
        <v>762</v>
      </c>
      <c r="C33" s="70">
        <v>0</v>
      </c>
    </row>
    <row r="34" spans="1:7">
      <c r="A34" s="72" t="s">
        <v>778</v>
      </c>
      <c r="B34" s="72" t="s">
        <v>701</v>
      </c>
      <c r="C34" s="70">
        <v>1</v>
      </c>
      <c r="G34" s="74">
        <v>44832.58929398148</v>
      </c>
    </row>
    <row r="35" spans="1:7">
      <c r="A35" s="72" t="s">
        <v>778</v>
      </c>
      <c r="B35" s="72" t="s">
        <v>703</v>
      </c>
      <c r="C35" s="70">
        <v>1</v>
      </c>
      <c r="G35" s="74">
        <v>44832.58929398148</v>
      </c>
    </row>
    <row r="36" spans="1:7">
      <c r="A36" s="72" t="s">
        <v>778</v>
      </c>
      <c r="B36" s="72" t="s">
        <v>702</v>
      </c>
      <c r="C36" s="70">
        <v>1</v>
      </c>
      <c r="G36" s="74">
        <v>44832.58929398148</v>
      </c>
    </row>
    <row r="37" spans="1:7">
      <c r="A37" s="72" t="s">
        <v>778</v>
      </c>
      <c r="B37" s="72" t="s">
        <v>753</v>
      </c>
      <c r="C37" s="70">
        <v>0</v>
      </c>
      <c r="G37" s="74">
        <v>44832.58929398148</v>
      </c>
    </row>
    <row r="38" spans="1:7">
      <c r="A38" s="72" t="s">
        <v>778</v>
      </c>
      <c r="B38" s="72" t="s">
        <v>756</v>
      </c>
      <c r="C38" s="70">
        <v>1</v>
      </c>
      <c r="G38" s="74">
        <v>44832.58929398148</v>
      </c>
    </row>
    <row r="39" spans="1:7">
      <c r="A39" s="72" t="s">
        <v>778</v>
      </c>
      <c r="B39" s="72" t="s">
        <v>767</v>
      </c>
      <c r="C39" s="70">
        <v>2</v>
      </c>
      <c r="G39" s="74">
        <v>44832.58929398148</v>
      </c>
    </row>
    <row r="40" spans="1:7">
      <c r="A40" s="72" t="s">
        <v>778</v>
      </c>
      <c r="B40" s="72" t="s">
        <v>757</v>
      </c>
      <c r="C40" s="70">
        <v>0.7</v>
      </c>
    </row>
    <row r="41" spans="1:7">
      <c r="A41" s="72" t="s">
        <v>778</v>
      </c>
      <c r="B41" s="72" t="s">
        <v>766</v>
      </c>
      <c r="C41" s="70">
        <v>1</v>
      </c>
      <c r="G41" s="74">
        <v>44832.58929398148</v>
      </c>
    </row>
    <row r="42" spans="1:7">
      <c r="A42" s="72" t="s">
        <v>778</v>
      </c>
      <c r="B42" s="72" t="s">
        <v>760</v>
      </c>
      <c r="C42" s="70">
        <v>1</v>
      </c>
      <c r="G42" s="74">
        <v>44832.58929398148</v>
      </c>
    </row>
    <row r="43" spans="1:7">
      <c r="A43" s="72" t="s">
        <v>778</v>
      </c>
      <c r="B43" s="72" t="s">
        <v>770</v>
      </c>
      <c r="C43" s="70">
        <v>-4131</v>
      </c>
      <c r="G43" s="74">
        <v>44832.58929398148</v>
      </c>
    </row>
    <row r="44" spans="1:7">
      <c r="A44" s="72" t="s">
        <v>778</v>
      </c>
      <c r="B44" s="72" t="s">
        <v>761</v>
      </c>
      <c r="C44" s="70">
        <v>7</v>
      </c>
      <c r="G44" s="74">
        <v>44832.58929398148</v>
      </c>
    </row>
    <row r="45" spans="1:7">
      <c r="A45" s="72" t="s">
        <v>778</v>
      </c>
      <c r="B45" s="72" t="s">
        <v>763</v>
      </c>
      <c r="C45" s="70">
        <v>0</v>
      </c>
      <c r="G45" s="74">
        <v>44832.58929398148</v>
      </c>
    </row>
    <row r="46" spans="1:7">
      <c r="A46" s="72" t="s">
        <v>778</v>
      </c>
      <c r="B46" s="72" t="s">
        <v>764</v>
      </c>
      <c r="C46" s="70">
        <v>1</v>
      </c>
      <c r="G46" s="74">
        <v>44832.58929398148</v>
      </c>
    </row>
    <row r="47" spans="1:7">
      <c r="A47" s="72" t="s">
        <v>778</v>
      </c>
      <c r="B47" s="72" t="s">
        <v>765</v>
      </c>
      <c r="C47" s="70">
        <v>1</v>
      </c>
      <c r="G47" s="74">
        <v>44832.58929398148</v>
      </c>
    </row>
    <row r="48" spans="1:7">
      <c r="A48" s="72" t="s">
        <v>778</v>
      </c>
      <c r="B48" s="72" t="s">
        <v>754</v>
      </c>
      <c r="C48" s="70">
        <v>1</v>
      </c>
    </row>
    <row r="49" spans="1:7">
      <c r="A49" s="72" t="s">
        <v>778</v>
      </c>
      <c r="B49" s="72" t="s">
        <v>755</v>
      </c>
      <c r="C49" s="70">
        <v>0</v>
      </c>
    </row>
    <row r="50" spans="1:7">
      <c r="A50" s="72" t="s">
        <v>778</v>
      </c>
      <c r="B50" s="72" t="s">
        <v>758</v>
      </c>
      <c r="C50" s="70">
        <v>2</v>
      </c>
      <c r="G50" s="74">
        <v>44832.58929398148</v>
      </c>
    </row>
    <row r="51" spans="1:7">
      <c r="A51" s="72" t="s">
        <v>778</v>
      </c>
      <c r="B51" s="72" t="s">
        <v>769</v>
      </c>
      <c r="C51" s="70" t="s">
        <v>752</v>
      </c>
    </row>
    <row r="52" spans="1:7">
      <c r="A52" s="72" t="s">
        <v>778</v>
      </c>
      <c r="B52" s="72" t="s">
        <v>699</v>
      </c>
      <c r="C52" s="70">
        <v>100</v>
      </c>
      <c r="G52" s="74">
        <v>44832.58929398148</v>
      </c>
    </row>
    <row r="53" spans="1:7">
      <c r="A53" s="72" t="s">
        <v>778</v>
      </c>
      <c r="B53" s="72" t="s">
        <v>768</v>
      </c>
      <c r="C53" s="70">
        <v>9</v>
      </c>
    </row>
    <row r="54" spans="1:7">
      <c r="A54" s="72" t="s">
        <v>779</v>
      </c>
      <c r="B54" s="72" t="s">
        <v>662</v>
      </c>
      <c r="C54" s="70">
        <v>1</v>
      </c>
      <c r="G54" s="74">
        <v>44832.58929398148</v>
      </c>
    </row>
    <row r="55" spans="1:7">
      <c r="A55" s="72" t="s">
        <v>779</v>
      </c>
      <c r="B55" s="72" t="s">
        <v>771</v>
      </c>
      <c r="C55" s="70" t="s">
        <v>1528</v>
      </c>
      <c r="G55" s="74">
        <v>44832.58929398148</v>
      </c>
    </row>
    <row r="56" spans="1:7">
      <c r="A56" s="72" t="s">
        <v>779</v>
      </c>
      <c r="B56" s="72" t="s">
        <v>661</v>
      </c>
      <c r="C56" s="70" t="s">
        <v>704</v>
      </c>
      <c r="G56" s="74">
        <v>44717.947500000002</v>
      </c>
    </row>
    <row r="57" spans="1:7">
      <c r="A57" s="72" t="s">
        <v>779</v>
      </c>
      <c r="B57" s="72" t="s">
        <v>660</v>
      </c>
      <c r="C57" s="70" t="s">
        <v>1738</v>
      </c>
      <c r="G57" s="74">
        <v>44832.58929398148</v>
      </c>
    </row>
    <row r="58" spans="1:7">
      <c r="A58" s="72" t="s">
        <v>724</v>
      </c>
      <c r="B58" s="72" t="s">
        <v>774</v>
      </c>
      <c r="C58" s="70">
        <v>82</v>
      </c>
      <c r="G58" s="74">
        <v>44818.603472222225</v>
      </c>
    </row>
    <row r="59" spans="1:7">
      <c r="A59" s="72" t="s">
        <v>724</v>
      </c>
      <c r="B59" s="72" t="s">
        <v>773</v>
      </c>
      <c r="C59" s="70">
        <v>1</v>
      </c>
      <c r="G59" s="74">
        <v>44818.603472222225</v>
      </c>
    </row>
    <row r="60" spans="1:7">
      <c r="A60" s="72" t="s">
        <v>724</v>
      </c>
      <c r="B60" s="72" t="s">
        <v>772</v>
      </c>
      <c r="C60" s="70">
        <v>82</v>
      </c>
      <c r="G60" s="74">
        <v>44717.85429398148</v>
      </c>
    </row>
    <row r="61" spans="1:7">
      <c r="A61" s="72" t="s">
        <v>724</v>
      </c>
      <c r="B61" s="72" t="s">
        <v>775</v>
      </c>
      <c r="C61" s="70" t="s">
        <v>1583</v>
      </c>
      <c r="G61" s="74">
        <v>44818.603472222225</v>
      </c>
    </row>
    <row r="62" spans="1:7">
      <c r="A62" s="72" t="s">
        <v>780</v>
      </c>
      <c r="B62" s="72" t="s">
        <v>689</v>
      </c>
      <c r="C62" s="70" t="b">
        <v>0</v>
      </c>
      <c r="G62" s="74">
        <v>44832.58929398148</v>
      </c>
    </row>
    <row r="63" spans="1:7">
      <c r="A63" s="72" t="s">
        <v>780</v>
      </c>
      <c r="B63" s="72" t="s">
        <v>690</v>
      </c>
      <c r="C63" s="70" t="b">
        <v>0</v>
      </c>
      <c r="G63" s="74">
        <v>44832.58929398148</v>
      </c>
    </row>
    <row r="64" spans="1:7">
      <c r="A64" s="72" t="s">
        <v>780</v>
      </c>
      <c r="B64" s="72" t="s">
        <v>691</v>
      </c>
      <c r="C64" s="70" t="b">
        <v>1</v>
      </c>
      <c r="G64" s="74">
        <v>44832.58929398148</v>
      </c>
    </row>
    <row r="65" spans="1:7">
      <c r="A65" s="72" t="s">
        <v>780</v>
      </c>
      <c r="B65" s="72" t="s">
        <v>673</v>
      </c>
      <c r="C65" s="70" t="b">
        <v>1</v>
      </c>
      <c r="G65" s="74">
        <v>44832.58929398148</v>
      </c>
    </row>
    <row r="66" spans="1:7">
      <c r="A66" s="72" t="s">
        <v>780</v>
      </c>
      <c r="B66" s="72" t="s">
        <v>674</v>
      </c>
      <c r="C66" s="70" t="b">
        <v>1</v>
      </c>
      <c r="G66" s="74">
        <v>44832.58929398148</v>
      </c>
    </row>
    <row r="67" spans="1:7">
      <c r="A67" s="72" t="s">
        <v>780</v>
      </c>
      <c r="B67" s="72" t="s">
        <v>675</v>
      </c>
      <c r="C67" s="70" t="b">
        <v>1</v>
      </c>
      <c r="G67" s="74">
        <v>44832.58929398148</v>
      </c>
    </row>
    <row r="68" spans="1:7">
      <c r="A68" s="72" t="s">
        <v>780</v>
      </c>
      <c r="B68" s="72" t="s">
        <v>676</v>
      </c>
      <c r="C68" s="70" t="b">
        <v>1</v>
      </c>
      <c r="G68" s="74">
        <v>44832.58929398148</v>
      </c>
    </row>
    <row r="69" spans="1:7">
      <c r="A69" s="72" t="s">
        <v>780</v>
      </c>
      <c r="B69" s="72" t="s">
        <v>677</v>
      </c>
      <c r="G69" s="74">
        <v>44818.603472222225</v>
      </c>
    </row>
    <row r="70" spans="1:7">
      <c r="A70" s="72" t="s">
        <v>780</v>
      </c>
      <c r="B70" s="72" t="s">
        <v>692</v>
      </c>
      <c r="C70" s="70" t="s">
        <v>1576</v>
      </c>
      <c r="G70" s="74">
        <v>44832.58929398148</v>
      </c>
    </row>
    <row r="71" spans="1:7">
      <c r="A71" s="72" t="s">
        <v>780</v>
      </c>
      <c r="B71" s="72" t="s">
        <v>694</v>
      </c>
      <c r="C71" s="70" t="s">
        <v>1577</v>
      </c>
      <c r="G71" s="74">
        <v>44832.58929398148</v>
      </c>
    </row>
    <row r="72" spans="1:7">
      <c r="A72" s="72" t="s">
        <v>780</v>
      </c>
      <c r="B72" s="72" t="s">
        <v>693</v>
      </c>
      <c r="C72" s="70" t="s">
        <v>1578</v>
      </c>
      <c r="G72" s="74">
        <v>44832.58929398148</v>
      </c>
    </row>
    <row r="73" spans="1:7">
      <c r="A73" s="72" t="s">
        <v>780</v>
      </c>
      <c r="B73" s="72" t="s">
        <v>679</v>
      </c>
      <c r="C73" s="70" t="s">
        <v>1579</v>
      </c>
      <c r="G73" s="74">
        <v>44832.58929398148</v>
      </c>
    </row>
    <row r="74" spans="1:7">
      <c r="A74" s="72" t="s">
        <v>780</v>
      </c>
      <c r="B74" s="72" t="s">
        <v>682</v>
      </c>
      <c r="C74" s="70" t="s">
        <v>1580</v>
      </c>
      <c r="G74" s="74">
        <v>44832.58929398148</v>
      </c>
    </row>
    <row r="75" spans="1:7">
      <c r="A75" s="72" t="s">
        <v>780</v>
      </c>
      <c r="B75" s="72" t="s">
        <v>681</v>
      </c>
      <c r="C75" s="70" t="s">
        <v>1745</v>
      </c>
      <c r="G75" s="74">
        <v>44832.58929398148</v>
      </c>
    </row>
    <row r="76" spans="1:7">
      <c r="A76" s="72" t="s">
        <v>780</v>
      </c>
      <c r="B76" s="72" t="s">
        <v>680</v>
      </c>
      <c r="C76" s="70" t="s">
        <v>1747</v>
      </c>
      <c r="G76" s="74">
        <v>44832.58929398148</v>
      </c>
    </row>
    <row r="77" spans="1:7">
      <c r="A77" s="72" t="s">
        <v>780</v>
      </c>
      <c r="B77" s="72" t="s">
        <v>678</v>
      </c>
      <c r="C77" s="70" t="s">
        <v>1750</v>
      </c>
      <c r="G77" s="74">
        <v>44832.58929398148</v>
      </c>
    </row>
    <row r="78" spans="1:7">
      <c r="A78" s="72" t="s">
        <v>780</v>
      </c>
      <c r="B78" s="72" t="s">
        <v>683</v>
      </c>
      <c r="C78" s="70" t="s">
        <v>1739</v>
      </c>
      <c r="G78" s="74">
        <v>44832.58929398148</v>
      </c>
    </row>
    <row r="79" spans="1:7">
      <c r="A79" s="72" t="s">
        <v>780</v>
      </c>
      <c r="B79" s="72" t="s">
        <v>688</v>
      </c>
      <c r="C79" s="70" t="s">
        <v>1740</v>
      </c>
      <c r="G79" s="74">
        <v>44832.58929398148</v>
      </c>
    </row>
    <row r="80" spans="1:7">
      <c r="A80" s="72" t="s">
        <v>780</v>
      </c>
      <c r="B80" s="72" t="s">
        <v>687</v>
      </c>
      <c r="C80" s="70" t="s">
        <v>1741</v>
      </c>
      <c r="G80" s="74">
        <v>44832.58929398148</v>
      </c>
    </row>
    <row r="81" spans="1:7">
      <c r="A81" s="72" t="s">
        <v>780</v>
      </c>
      <c r="B81" s="72" t="s">
        <v>668</v>
      </c>
      <c r="C81" s="70" t="s">
        <v>706</v>
      </c>
      <c r="G81" s="74">
        <v>44832.58929398148</v>
      </c>
    </row>
    <row r="82" spans="1:7">
      <c r="A82" s="72" t="s">
        <v>780</v>
      </c>
      <c r="B82" s="72" t="s">
        <v>672</v>
      </c>
      <c r="C82" s="70" t="s">
        <v>1743</v>
      </c>
      <c r="G82" s="74">
        <v>44832.58929398148</v>
      </c>
    </row>
    <row r="83" spans="1:7">
      <c r="A83" s="72" t="s">
        <v>780</v>
      </c>
      <c r="B83" s="72" t="s">
        <v>671</v>
      </c>
      <c r="C83" s="70" t="s">
        <v>1744</v>
      </c>
      <c r="G83" s="74">
        <v>44832.58929398148</v>
      </c>
    </row>
    <row r="84" spans="1:7">
      <c r="A84" s="72" t="s">
        <v>780</v>
      </c>
      <c r="B84" s="72" t="s">
        <v>670</v>
      </c>
      <c r="C84" s="70" t="s">
        <v>1746</v>
      </c>
      <c r="G84" s="74">
        <v>44832.58929398148</v>
      </c>
    </row>
    <row r="85" spans="1:7">
      <c r="A85" s="72" t="s">
        <v>780</v>
      </c>
      <c r="B85" s="72" t="s">
        <v>669</v>
      </c>
      <c r="C85" s="70" t="s">
        <v>1749</v>
      </c>
      <c r="G85" s="74">
        <v>44832.58929398148</v>
      </c>
    </row>
    <row r="86" spans="1:7">
      <c r="A86" s="72" t="s">
        <v>780</v>
      </c>
      <c r="B86" s="72" t="s">
        <v>684</v>
      </c>
      <c r="C86" s="70" t="s">
        <v>1375</v>
      </c>
      <c r="G86" s="74">
        <v>44832.58929398148</v>
      </c>
    </row>
    <row r="87" spans="1:7">
      <c r="A87" s="72" t="s">
        <v>780</v>
      </c>
      <c r="B87" s="72" t="s">
        <v>685</v>
      </c>
      <c r="C87" s="70" t="s">
        <v>1375</v>
      </c>
      <c r="G87" s="74">
        <v>44832.58929398148</v>
      </c>
    </row>
    <row r="88" spans="1:7">
      <c r="A88" s="72" t="s">
        <v>780</v>
      </c>
      <c r="B88" s="72" t="s">
        <v>686</v>
      </c>
      <c r="C88" s="70" t="s">
        <v>1375</v>
      </c>
      <c r="G88" s="74">
        <v>44832.58929398148</v>
      </c>
    </row>
    <row r="89" spans="1:7">
      <c r="A89" s="72" t="s">
        <v>780</v>
      </c>
      <c r="B89" s="72" t="s">
        <v>663</v>
      </c>
      <c r="C89" s="70" t="s">
        <v>1742</v>
      </c>
      <c r="G89" s="74">
        <v>44832.58929398148</v>
      </c>
    </row>
    <row r="90" spans="1:7">
      <c r="A90" s="72" t="s">
        <v>780</v>
      </c>
      <c r="B90" s="72" t="s">
        <v>664</v>
      </c>
      <c r="C90" s="70" t="s">
        <v>705</v>
      </c>
      <c r="G90" s="74">
        <v>44832.58929398148</v>
      </c>
    </row>
    <row r="91" spans="1:7">
      <c r="A91" s="72" t="s">
        <v>780</v>
      </c>
      <c r="B91" s="72" t="s">
        <v>665</v>
      </c>
      <c r="C91" s="70" t="s">
        <v>1581</v>
      </c>
      <c r="G91" s="74">
        <v>44832.58929398148</v>
      </c>
    </row>
    <row r="92" spans="1:7">
      <c r="A92" s="72" t="s">
        <v>780</v>
      </c>
      <c r="B92" s="72" t="s">
        <v>666</v>
      </c>
      <c r="C92" s="70" t="s">
        <v>1748</v>
      </c>
      <c r="G92" s="74">
        <v>44832.58929398148</v>
      </c>
    </row>
    <row r="93" spans="1:7">
      <c r="A93" s="72" t="s">
        <v>780</v>
      </c>
      <c r="B93" s="72" t="s">
        <v>667</v>
      </c>
      <c r="G93" s="74">
        <v>44818.603472222225</v>
      </c>
    </row>
    <row r="94" spans="1:7">
      <c r="A94" s="72" t="s">
        <v>707</v>
      </c>
      <c r="B94" s="72" t="s">
        <v>712</v>
      </c>
      <c r="C94" s="70" t="b">
        <v>1</v>
      </c>
      <c r="F94" s="74"/>
      <c r="G94" s="74">
        <v>44717.850543981483</v>
      </c>
    </row>
    <row r="95" spans="1:7">
      <c r="A95" s="72" t="s">
        <v>707</v>
      </c>
      <c r="B95" s="72" t="s">
        <v>723</v>
      </c>
      <c r="C95" s="70" t="b">
        <v>1</v>
      </c>
      <c r="F95" s="74"/>
      <c r="G95" s="74">
        <v>44717.850543981483</v>
      </c>
    </row>
    <row r="96" spans="1:7">
      <c r="A96" s="72" t="s">
        <v>707</v>
      </c>
      <c r="B96" s="72" t="s">
        <v>722</v>
      </c>
      <c r="C96" s="70" t="b">
        <v>0</v>
      </c>
      <c r="F96" s="74"/>
      <c r="G96" s="74">
        <v>44717.850543981483</v>
      </c>
    </row>
    <row r="97" spans="1:7">
      <c r="A97" s="72" t="s">
        <v>707</v>
      </c>
      <c r="B97" s="72" t="s">
        <v>711</v>
      </c>
      <c r="C97" s="70" t="b">
        <v>0</v>
      </c>
      <c r="F97" s="74"/>
      <c r="G97" s="74">
        <v>44717.850543981483</v>
      </c>
    </row>
    <row r="98" spans="1:7">
      <c r="A98" s="72" t="s">
        <v>707</v>
      </c>
      <c r="B98" s="72" t="s">
        <v>721</v>
      </c>
      <c r="C98" s="70" t="b">
        <v>0</v>
      </c>
      <c r="F98" s="74"/>
      <c r="G98" s="74">
        <v>44717.850543981483</v>
      </c>
    </row>
    <row r="99" spans="1:7">
      <c r="A99" s="72" t="s">
        <v>707</v>
      </c>
      <c r="B99" s="72" t="s">
        <v>719</v>
      </c>
      <c r="C99" s="70" t="b">
        <v>1</v>
      </c>
      <c r="F99" s="74"/>
      <c r="G99" s="74">
        <v>44717.850543981483</v>
      </c>
    </row>
    <row r="100" spans="1:7">
      <c r="A100" s="72" t="s">
        <v>707</v>
      </c>
      <c r="B100" s="72" t="s">
        <v>720</v>
      </c>
      <c r="C100" s="70" t="b">
        <v>0</v>
      </c>
      <c r="F100" s="74"/>
      <c r="G100" s="74">
        <v>44717.850543981483</v>
      </c>
    </row>
    <row r="101" spans="1:7">
      <c r="A101" s="72" t="s">
        <v>707</v>
      </c>
      <c r="B101" s="72" t="s">
        <v>715</v>
      </c>
      <c r="C101" s="70" t="b">
        <v>0</v>
      </c>
      <c r="F101" s="74"/>
      <c r="G101" s="74">
        <v>44717.850543981483</v>
      </c>
    </row>
    <row r="102" spans="1:7">
      <c r="A102" s="72" t="s">
        <v>707</v>
      </c>
      <c r="B102" s="72" t="s">
        <v>710</v>
      </c>
      <c r="C102" s="70" t="b">
        <v>0</v>
      </c>
      <c r="F102" s="74"/>
      <c r="G102" s="74">
        <v>44717.850543981483</v>
      </c>
    </row>
    <row r="103" spans="1:7">
      <c r="A103" s="72" t="s">
        <v>707</v>
      </c>
      <c r="B103" s="72" t="s">
        <v>709</v>
      </c>
      <c r="C103" s="70" t="b">
        <v>0</v>
      </c>
      <c r="F103" s="74"/>
      <c r="G103" s="74">
        <v>44717.850543981483</v>
      </c>
    </row>
    <row r="104" spans="1:7">
      <c r="A104" s="72" t="s">
        <v>707</v>
      </c>
      <c r="B104" s="72" t="s">
        <v>708</v>
      </c>
      <c r="C104" s="70" t="b">
        <v>0</v>
      </c>
      <c r="F104" s="74"/>
      <c r="G104" s="74">
        <v>44717.850543981483</v>
      </c>
    </row>
    <row r="105" spans="1:7">
      <c r="A105" s="72" t="s">
        <v>707</v>
      </c>
      <c r="B105" s="72" t="s">
        <v>717</v>
      </c>
      <c r="C105" s="70">
        <v>0</v>
      </c>
      <c r="F105" s="74"/>
      <c r="G105" s="74">
        <v>44717.850543981483</v>
      </c>
    </row>
    <row r="106" spans="1:7">
      <c r="A106" s="72" t="s">
        <v>707</v>
      </c>
      <c r="B106" s="72" t="s">
        <v>716</v>
      </c>
      <c r="C106" s="70">
        <v>80</v>
      </c>
      <c r="F106" s="74"/>
      <c r="G106" s="74">
        <v>44717.850543981483</v>
      </c>
    </row>
    <row r="107" spans="1:7">
      <c r="A107" s="72" t="s">
        <v>707</v>
      </c>
      <c r="B107" s="72" t="s">
        <v>718</v>
      </c>
      <c r="F107" s="74"/>
      <c r="G107" s="74">
        <v>44717.850543981483</v>
      </c>
    </row>
    <row r="108" spans="1:7">
      <c r="A108" s="72" t="s">
        <v>707</v>
      </c>
      <c r="B108" s="72" t="s">
        <v>713</v>
      </c>
      <c r="C108" s="73">
        <v>44562</v>
      </c>
      <c r="F108" s="74"/>
      <c r="G108" s="74">
        <v>44717.850543981483</v>
      </c>
    </row>
    <row r="109" spans="1:7">
      <c r="A109" s="72" t="s">
        <v>707</v>
      </c>
      <c r="B109" s="72" t="s">
        <v>714</v>
      </c>
      <c r="C109" s="73">
        <v>44199</v>
      </c>
      <c r="F109" s="74"/>
      <c r="G109" s="74">
        <v>44717.850543981483</v>
      </c>
    </row>
  </sheetData>
  <sortState ref="A54:AB93">
    <sortCondition ref="A54:A93"/>
    <sortCondition ref="B54:B93"/>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PORO</cp:lastModifiedBy>
  <cp:lastPrinted>2022-06-05T11:24:31Z</cp:lastPrinted>
  <dcterms:created xsi:type="dcterms:W3CDTF">2018-02-18T09:45:14Z</dcterms:created>
  <dcterms:modified xsi:type="dcterms:W3CDTF">2022-11-30T06:35:06Z</dcterms:modified>
</cp:coreProperties>
</file>